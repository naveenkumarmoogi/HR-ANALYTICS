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DATA" sheetId="1" r:id="rId5"/>
    <sheet state="visible" name="SALES PERFORMANCE DASHBOARD" sheetId="2" r:id="rId6"/>
    <sheet state="visible" name="Order Management Tracker" sheetId="3" r:id="rId7"/>
    <sheet state="visible" name=" Monthly Sales Report with 4 ch" sheetId="4" r:id="rId8"/>
    <sheet state="visible" name="DASHBOARD" sheetId="5" r:id="rId9"/>
    <sheet state="visible" name="HR Analytics" sheetId="6" r:id="rId10"/>
  </sheets>
  <definedNames>
    <definedName hidden="1" localSheetId="1" name="Z_D2A7E6AE_A196_4054_A67E_340C2CDAE271_.wvu.FilterData">'SALES PERFORMANCE DASHBOARD'!$B$66:$C$78</definedName>
    <definedName hidden="1" localSheetId="1" name="Z_D2A7E6AE_A196_4054_A67E_340C2CDAE271_.wvu.FilterData">'SALES PERFORMANCE DASHBOARD'!$B$15:$C$20</definedName>
    <definedName hidden="1" localSheetId="1" name="Z_D2A7E6AE_A196_4054_A67E_340C2CDAE271_.wvu.FilterData">'SALES PERFORMANCE DASHBOARD'!$B$35:$C$41</definedName>
    <definedName name="SlicerCache_Table_1_Col_1">#N/A</definedName>
    <definedName name="SlicerCache_Table_2_Col_1">#N/A</definedName>
    <definedName name="SlicerCache_Table_3_Col_1">#N/A</definedName>
  </definedNames>
  <calcPr/>
  <customWorkbookViews>
    <customWorkbookView activeSheetId="0" maximized="1" windowHeight="0" windowWidth="0" guid="{D2A7E6AE-A196-4054-A67E-340C2CDAE271}" name="Filter 1"/>
  </customWorkbookViews>
  <pivotCaches>
    <pivotCache cacheId="0" r:id="rId11"/>
    <pivotCache cacheId="1" r:id="rId12"/>
  </pivotCaches>
  <extLst>
    <ext uri="{46BE6895-7355-4a93-B00E-2C351335B9C9}">
      <x15:slicerCaches>
        <x14:slicerCache r:id="rId13"/>
        <x14:slicerCache r:id="rId14"/>
        <x14:slicerCache r:id="rId15"/>
      </x15:slicerCaches>
    </ext>
  </extLst>
</workbook>
</file>

<file path=xl/sharedStrings.xml><?xml version="1.0" encoding="utf-8"?>
<sst xmlns="http://schemas.openxmlformats.org/spreadsheetml/2006/main" count="531" uniqueCount="216">
  <si>
    <t>Date</t>
  </si>
  <si>
    <t>Salesperson</t>
  </si>
  <si>
    <t>Region</t>
  </si>
  <si>
    <t>Product</t>
  </si>
  <si>
    <t>Sales Amount ()</t>
  </si>
  <si>
    <t>Aarav Sharma</t>
  </si>
  <si>
    <t>North</t>
  </si>
  <si>
    <t>Laptop</t>
  </si>
  <si>
    <t>Priya Patel</t>
  </si>
  <si>
    <t>South</t>
  </si>
  <si>
    <t>Mobile</t>
  </si>
  <si>
    <t>Vikram Singh</t>
  </si>
  <si>
    <t>East</t>
  </si>
  <si>
    <t>Tablet</t>
  </si>
  <si>
    <t>Ananya Reddy</t>
  </si>
  <si>
    <t>West</t>
  </si>
  <si>
    <t>Rohit Kumar</t>
  </si>
  <si>
    <t>Sneha Iyer</t>
  </si>
  <si>
    <t>Headphones</t>
  </si>
  <si>
    <t>SALES PERFORMANCE DASHBOARD</t>
  </si>
  <si>
    <t>SALES BY REGION</t>
  </si>
  <si>
    <t>SUM of Sales Amount ()</t>
  </si>
  <si>
    <t>SALES BY SALESPERSON</t>
  </si>
  <si>
    <t>MONTHLY SALES TREND</t>
  </si>
  <si>
    <t>Date - Month</t>
  </si>
  <si>
    <t>Jan</t>
  </si>
  <si>
    <t>Feb</t>
  </si>
  <si>
    <t>Mar</t>
  </si>
  <si>
    <t>Apr</t>
  </si>
  <si>
    <t>May</t>
  </si>
  <si>
    <t>Jun</t>
  </si>
  <si>
    <t>Jul</t>
  </si>
  <si>
    <t>Aug</t>
  </si>
  <si>
    <t>Sep</t>
  </si>
  <si>
    <t>Oct</t>
  </si>
  <si>
    <t>Nov</t>
  </si>
  <si>
    <t>Dec</t>
  </si>
  <si>
    <t>Order Management Tracker</t>
  </si>
  <si>
    <t>ORDERID</t>
  </si>
  <si>
    <t>CUSTOMER</t>
  </si>
  <si>
    <t>PRODUCT</t>
  </si>
  <si>
    <t>QUANTITY</t>
  </si>
  <si>
    <t>PRICE</t>
  </si>
  <si>
    <t>TOTAL</t>
  </si>
  <si>
    <t>STATUS</t>
  </si>
  <si>
    <t>DELIVERY DATE</t>
  </si>
  <si>
    <t>Status</t>
  </si>
  <si>
    <t>Count</t>
  </si>
  <si>
    <t>ORD001</t>
  </si>
  <si>
    <t>Ravi</t>
  </si>
  <si>
    <t>Pending</t>
  </si>
  <si>
    <t>25-05-2026</t>
  </si>
  <si>
    <t>ORD002</t>
  </si>
  <si>
    <t>Sneha</t>
  </si>
  <si>
    <t>Phone</t>
  </si>
  <si>
    <t>Delivered</t>
  </si>
  <si>
    <t>28-05-2026</t>
  </si>
  <si>
    <t>Shipped</t>
  </si>
  <si>
    <t>ORD003</t>
  </si>
  <si>
    <t>Arjun</t>
  </si>
  <si>
    <t>30-05-2026</t>
  </si>
  <si>
    <t>ORD004</t>
  </si>
  <si>
    <t>Priya</t>
  </si>
  <si>
    <t>Monitor</t>
  </si>
  <si>
    <t>Cancelled</t>
  </si>
  <si>
    <t>ORD005</t>
  </si>
  <si>
    <t>Kiran</t>
  </si>
  <si>
    <t>Keyboard</t>
  </si>
  <si>
    <t>ORD006</t>
  </si>
  <si>
    <t>Neha</t>
  </si>
  <si>
    <t>Mouse</t>
  </si>
  <si>
    <t>ORD007</t>
  </si>
  <si>
    <t>Ajay</t>
  </si>
  <si>
    <t>Printer</t>
  </si>
  <si>
    <t>ORD008</t>
  </si>
  <si>
    <t>Meena</t>
  </si>
  <si>
    <t>ORD009</t>
  </si>
  <si>
    <t>Rohit</t>
  </si>
  <si>
    <t>ORD010</t>
  </si>
  <si>
    <t>Kavya</t>
  </si>
  <si>
    <t>ORD011</t>
  </si>
  <si>
    <t>Varun</t>
  </si>
  <si>
    <t>ORD012</t>
  </si>
  <si>
    <t>Divya</t>
  </si>
  <si>
    <t>13-06-2026</t>
  </si>
  <si>
    <t>ORD013</t>
  </si>
  <si>
    <t>Suresh</t>
  </si>
  <si>
    <t>14-06-2026</t>
  </si>
  <si>
    <t>ORD014</t>
  </si>
  <si>
    <t>Anjali</t>
  </si>
  <si>
    <t>15-06-2026</t>
  </si>
  <si>
    <t>ORD015</t>
  </si>
  <si>
    <t>Tarun</t>
  </si>
  <si>
    <t>16-06-2026</t>
  </si>
  <si>
    <t>ORD016</t>
  </si>
  <si>
    <t>Pooja</t>
  </si>
  <si>
    <t>18-06-2026</t>
  </si>
  <si>
    <t>ORD017</t>
  </si>
  <si>
    <t>Manish</t>
  </si>
  <si>
    <t>19-06-2026</t>
  </si>
  <si>
    <t>ORD018</t>
  </si>
  <si>
    <t>Rekha</t>
  </si>
  <si>
    <t>20-06-2026</t>
  </si>
  <si>
    <t>ORD019</t>
  </si>
  <si>
    <t>Deepak</t>
  </si>
  <si>
    <t>21-06-2026</t>
  </si>
  <si>
    <t>ORD020</t>
  </si>
  <si>
    <t>Nisha</t>
  </si>
  <si>
    <t>22-06-2026</t>
  </si>
  <si>
    <t>ORD021</t>
  </si>
  <si>
    <t>Harish</t>
  </si>
  <si>
    <t>23-06-2026</t>
  </si>
  <si>
    <t>ORD022</t>
  </si>
  <si>
    <t>Swathi</t>
  </si>
  <si>
    <t>24-06-2026</t>
  </si>
  <si>
    <t>ORD023</t>
  </si>
  <si>
    <t>Akash</t>
  </si>
  <si>
    <t>25-06-2026</t>
  </si>
  <si>
    <t>ORD024</t>
  </si>
  <si>
    <t>Bhavana</t>
  </si>
  <si>
    <t>26-06-2026</t>
  </si>
  <si>
    <t>ORD025</t>
  </si>
  <si>
    <t>Naveen</t>
  </si>
  <si>
    <t>27-06-2026</t>
  </si>
  <si>
    <t>MONTHLY SALES REPORT</t>
  </si>
  <si>
    <t xml:space="preserve">MONTH </t>
  </si>
  <si>
    <t>SALES</t>
  </si>
  <si>
    <t>EXPENSES</t>
  </si>
  <si>
    <t>PROFIT</t>
  </si>
  <si>
    <t>PROFIT(%)</t>
  </si>
  <si>
    <t>JANUARY</t>
  </si>
  <si>
    <t>FEBRUARY</t>
  </si>
  <si>
    <t>MARCH</t>
  </si>
  <si>
    <t>APRIL</t>
  </si>
  <si>
    <t>MAY</t>
  </si>
  <si>
    <t>JUNE</t>
  </si>
  <si>
    <t>JULY</t>
  </si>
  <si>
    <t>AUGUST</t>
  </si>
  <si>
    <t>SEPTEMBER</t>
  </si>
  <si>
    <t>OCTOBER</t>
  </si>
  <si>
    <t>NOVEMBER</t>
  </si>
  <si>
    <t>DECEMBER</t>
  </si>
  <si>
    <t xml:space="preserve"> </t>
  </si>
  <si>
    <t>Total Sales</t>
  </si>
  <si>
    <t>Total Expenses</t>
  </si>
  <si>
    <t>Total Profit</t>
  </si>
  <si>
    <t>Avg Margin %</t>
  </si>
  <si>
    <t>₹725,000.00</t>
  </si>
  <si>
    <t>₹660,000.00</t>
  </si>
  <si>
    <t>Sales vs Expenses by Month</t>
  </si>
  <si>
    <t>Monthly Profit Trend</t>
  </si>
  <si>
    <t>Sales and Profit Margin Analysis</t>
  </si>
  <si>
    <t>Metric</t>
  </si>
  <si>
    <t>Trend</t>
  </si>
  <si>
    <t>Sales</t>
  </si>
  <si>
    <t>Expenses</t>
  </si>
  <si>
    <t>Profit</t>
  </si>
  <si>
    <t>profit%</t>
  </si>
  <si>
    <t>HR ANALYTICS</t>
  </si>
  <si>
    <t>Employee ID</t>
  </si>
  <si>
    <t>Name</t>
  </si>
  <si>
    <t>Department</t>
  </si>
  <si>
    <t>Salary</t>
  </si>
  <si>
    <t>Performance</t>
  </si>
  <si>
    <t>EMP001</t>
  </si>
  <si>
    <t>Aarav</t>
  </si>
  <si>
    <t>HR</t>
  </si>
  <si>
    <t>Active</t>
  </si>
  <si>
    <t>EMP002</t>
  </si>
  <si>
    <t>Finance</t>
  </si>
  <si>
    <t>Lookup Panel</t>
  </si>
  <si>
    <t>EMP003</t>
  </si>
  <si>
    <t>Rohan</t>
  </si>
  <si>
    <t>IT</t>
  </si>
  <si>
    <t>Field</t>
  </si>
  <si>
    <t>Value</t>
  </si>
  <si>
    <t>EMP004</t>
  </si>
  <si>
    <t>Marketing</t>
  </si>
  <si>
    <t>Resigned</t>
  </si>
  <si>
    <t>Enter Employee Name</t>
  </si>
  <si>
    <t>EMP005</t>
  </si>
  <si>
    <t>Karan</t>
  </si>
  <si>
    <t>EMP006</t>
  </si>
  <si>
    <t>Summary Stats Table</t>
  </si>
  <si>
    <t>Vikram</t>
  </si>
  <si>
    <t>EMP008</t>
  </si>
  <si>
    <t>EMP009</t>
  </si>
  <si>
    <t>EMP010</t>
  </si>
  <si>
    <t>EMP011</t>
  </si>
  <si>
    <t>Rahul</t>
  </si>
  <si>
    <t>EMP012</t>
  </si>
  <si>
    <t>EMP013</t>
  </si>
  <si>
    <t>EMP014</t>
  </si>
  <si>
    <t>EMP015</t>
  </si>
  <si>
    <t>Active Employees</t>
  </si>
  <si>
    <t>High Performers</t>
  </si>
  <si>
    <t>Total Salary Cost</t>
  </si>
  <si>
    <t>EMP016</t>
  </si>
  <si>
    <t>EMP017</t>
  </si>
  <si>
    <t>EMP018</t>
  </si>
  <si>
    <t>EMP019</t>
  </si>
  <si>
    <t>EMP020</t>
  </si>
  <si>
    <t>EMP021</t>
  </si>
  <si>
    <t>Ritika</t>
  </si>
  <si>
    <t>EMP022</t>
  </si>
  <si>
    <t>EMP023</t>
  </si>
  <si>
    <t>EMP024</t>
  </si>
  <si>
    <t>Average Salary Per Region</t>
  </si>
  <si>
    <t>EMP025</t>
  </si>
  <si>
    <t>Avg Salary</t>
  </si>
  <si>
    <t>EMP026</t>
  </si>
  <si>
    <t>EMP027</t>
  </si>
  <si>
    <t>EMP028</t>
  </si>
  <si>
    <t>EMP029</t>
  </si>
  <si>
    <t>EMP030</t>
  </si>
  <si>
    <t>Priyanka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</si>
</sst>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yy"/>
    <numFmt numFmtId="165" formatCode="d-mmmm-yy"/>
    <numFmt numFmtId="166" formatCode="m/d/yyyy h:mm:ss"/>
    <numFmt numFmtId="167" formatCode="[$₹]#,##0.00"/>
    <numFmt numFmtId="168" formatCode="mm-dd-yyyy"/>
  </numFmts>
  <fonts count="11">
    <font>
      <sz val="10.0"/>
      <color rgb="FF000000"/>
      <name val="Arial"/>
      <scheme val="minor"/>
    </font>
    <font>
      <b/>
      <color rgb="FFFFFFFF"/>
      <name val="Arial"/>
    </font>
    <font>
      <sz val="9.0"/>
      <color theme="1"/>
      <name val="Arial"/>
    </font>
    <font>
      <b/>
      <sz val="48.0"/>
      <color theme="1"/>
      <name val="Arial"/>
      <scheme val="minor"/>
    </font>
    <font/>
    <font>
      <color theme="1"/>
      <name val="Arial"/>
      <scheme val="minor"/>
    </font>
    <font>
      <b/>
      <sz val="30.0"/>
      <color theme="1"/>
      <name val="Arial"/>
    </font>
    <font>
      <b/>
      <sz val="30.0"/>
      <color theme="1"/>
      <name val="Arial"/>
      <scheme val="minor"/>
    </font>
    <font>
      <b/>
      <color theme="1"/>
      <name val="Arial"/>
      <scheme val="minor"/>
    </font>
    <font>
      <sz val="30.0"/>
      <color theme="1"/>
      <name val="Arial"/>
      <scheme val="minor"/>
    </font>
    <font>
      <sz val="11.0"/>
      <color rgb="FF000000"/>
      <name val="&quot;Aptos Narrow&quot;"/>
    </font>
  </fonts>
  <fills count="19">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4A86E8"/>
        <bgColor rgb="FF4A86E8"/>
      </patternFill>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
      <patternFill patternType="solid">
        <fgColor rgb="FF5B95F9"/>
        <bgColor rgb="FF5B95F9"/>
      </patternFill>
    </fill>
    <fill>
      <patternFill patternType="solid">
        <fgColor rgb="FFFFD966"/>
        <bgColor rgb="FFFFD966"/>
      </patternFill>
    </fill>
    <fill>
      <patternFill patternType="solid">
        <fgColor rgb="FF93C47D"/>
        <bgColor rgb="FF93C47D"/>
      </patternFill>
    </fill>
    <fill>
      <patternFill patternType="solid">
        <fgColor rgb="FFF6B26B"/>
        <bgColor rgb="FFF6B26B"/>
      </patternFill>
    </fill>
    <fill>
      <patternFill patternType="solid">
        <fgColor rgb="FFB6D7A8"/>
        <bgColor rgb="FFB6D7A8"/>
      </patternFill>
    </fill>
    <fill>
      <patternFill patternType="solid">
        <fgColor rgb="FFE69138"/>
        <bgColor rgb="FFE69138"/>
      </patternFill>
    </fill>
    <fill>
      <patternFill patternType="solid">
        <fgColor rgb="FF26A69A"/>
        <bgColor rgb="FF26A69A"/>
      </patternFill>
    </fill>
    <fill>
      <patternFill patternType="solid">
        <fgColor rgb="FFDDF2F0"/>
        <bgColor rgb="FFDDF2F0"/>
      </patternFill>
    </fill>
    <fill>
      <patternFill patternType="solid">
        <fgColor rgb="FFCCA677"/>
        <bgColor rgb="FFCCA677"/>
      </patternFill>
    </fill>
    <fill>
      <patternFill patternType="solid">
        <fgColor rgb="FFF8F2EB"/>
        <bgColor rgb="FFF8F2EB"/>
      </patternFill>
    </fill>
    <fill>
      <patternFill patternType="solid">
        <fgColor rgb="FFD9D9D9"/>
        <bgColor rgb="FFD9D9D9"/>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2" fillId="2" fontId="1" numFmtId="4" xfId="0" applyAlignment="1" applyBorder="1" applyFont="1" applyNumberFormat="1">
      <alignment readingOrder="0" shrinkToFit="0" vertical="bottom" wrapText="0"/>
    </xf>
    <xf borderId="3" fillId="3" fontId="2" numFmtId="164" xfId="0" applyAlignment="1" applyBorder="1" applyFill="1" applyFont="1" applyNumberFormat="1">
      <alignment horizontal="right" readingOrder="0" shrinkToFit="0" vertical="bottom" wrapText="0"/>
    </xf>
    <xf borderId="4" fillId="3" fontId="2" numFmtId="0" xfId="0" applyAlignment="1" applyBorder="1" applyFont="1">
      <alignment readingOrder="0" shrinkToFit="0" vertical="bottom" wrapText="0"/>
    </xf>
    <xf borderId="4" fillId="3" fontId="2" numFmtId="4" xfId="0" applyAlignment="1" applyBorder="1" applyFont="1" applyNumberFormat="1">
      <alignment readingOrder="0" shrinkToFit="0" vertical="bottom" wrapText="0"/>
    </xf>
    <xf borderId="3" fillId="0" fontId="2" numFmtId="164" xfId="0" applyAlignment="1" applyBorder="1" applyFont="1" applyNumberFormat="1">
      <alignment horizontal="right" readingOrder="0" shrinkToFit="0" vertical="bottom" wrapText="0"/>
    </xf>
    <xf borderId="4" fillId="0" fontId="2" numFmtId="0" xfId="0" applyAlignment="1" applyBorder="1" applyFont="1">
      <alignment readingOrder="0" shrinkToFit="0" vertical="bottom" wrapText="0"/>
    </xf>
    <xf borderId="4" fillId="0" fontId="2" numFmtId="4" xfId="0" applyAlignment="1" applyBorder="1" applyFont="1" applyNumberFormat="1">
      <alignment readingOrder="0" shrinkToFit="0" vertical="bottom" wrapText="0"/>
    </xf>
    <xf borderId="3" fillId="3" fontId="2" numFmtId="165" xfId="0" applyAlignment="1" applyBorder="1" applyFont="1" applyNumberFormat="1">
      <alignment horizontal="right" readingOrder="0" shrinkToFit="0" vertical="bottom" wrapText="0"/>
    </xf>
    <xf borderId="3" fillId="0" fontId="2" numFmtId="165" xfId="0" applyAlignment="1" applyBorder="1" applyFont="1" applyNumberFormat="1">
      <alignment horizontal="right" readingOrder="0" shrinkToFit="0" vertical="bottom" wrapText="0"/>
    </xf>
    <xf borderId="5" fillId="4" fontId="3" numFmtId="0" xfId="0" applyAlignment="1" applyBorder="1" applyFill="1" applyFont="1">
      <alignment horizontal="center" readingOrder="0"/>
    </xf>
    <xf borderId="6" fillId="0" fontId="4" numFmtId="0" xfId="0" applyBorder="1" applyFont="1"/>
    <xf borderId="7" fillId="0" fontId="4" numFmtId="0" xfId="0" applyBorder="1" applyFont="1"/>
    <xf borderId="8" fillId="0" fontId="5" numFmtId="0" xfId="0" applyBorder="1" applyFont="1"/>
    <xf borderId="9" fillId="0" fontId="5" numFmtId="0" xfId="0" applyBorder="1" applyFont="1"/>
    <xf borderId="0" fillId="0" fontId="6" numFmtId="0" xfId="0" applyAlignment="1" applyFont="1">
      <alignment horizontal="center" readingOrder="0" shrinkToFit="0" vertical="bottom" wrapText="0"/>
    </xf>
    <xf borderId="1" fillId="0" fontId="5" numFmtId="0" xfId="0" applyBorder="1" applyFont="1"/>
    <xf borderId="1" fillId="0" fontId="5" numFmtId="4" xfId="0" applyBorder="1" applyFont="1" applyNumberFormat="1"/>
    <xf borderId="0" fillId="0" fontId="7" numFmtId="0" xfId="0" applyAlignment="1" applyFont="1">
      <alignment horizontal="center" readingOrder="0"/>
    </xf>
    <xf borderId="1" fillId="0" fontId="5" numFmtId="166" xfId="0" applyBorder="1" applyFont="1" applyNumberFormat="1"/>
    <xf borderId="0" fillId="0" fontId="5" numFmtId="0" xfId="0" applyAlignment="1" applyFont="1">
      <alignment horizontal="right"/>
    </xf>
    <xf borderId="10" fillId="0" fontId="5" numFmtId="0" xfId="0" applyBorder="1" applyFont="1"/>
    <xf borderId="11" fillId="0" fontId="5" numFmtId="0" xfId="0" applyBorder="1" applyFont="1"/>
    <xf borderId="4" fillId="0" fontId="5" numFmtId="0" xfId="0" applyBorder="1" applyFont="1"/>
    <xf borderId="0" fillId="5" fontId="7" numFmtId="0" xfId="0" applyAlignment="1" applyFill="1" applyFont="1">
      <alignment horizontal="center" readingOrder="0"/>
    </xf>
    <xf borderId="0" fillId="6" fontId="8" numFmtId="0" xfId="0" applyAlignment="1" applyFill="1" applyFont="1">
      <alignment readingOrder="0"/>
    </xf>
    <xf borderId="1" fillId="0" fontId="8" numFmtId="0" xfId="0" applyAlignment="1" applyBorder="1" applyFont="1">
      <alignment horizontal="center" readingOrder="0"/>
    </xf>
    <xf borderId="0" fillId="7" fontId="5" numFmtId="0" xfId="0" applyAlignment="1" applyFill="1" applyFont="1">
      <alignment readingOrder="0"/>
    </xf>
    <xf borderId="0" fillId="7" fontId="5" numFmtId="167" xfId="0" applyFont="1" applyNumberFormat="1"/>
    <xf borderId="1" fillId="0" fontId="5" numFmtId="0" xfId="0" applyAlignment="1" applyBorder="1" applyFont="1">
      <alignment readingOrder="0"/>
    </xf>
    <xf borderId="0" fillId="6" fontId="5" numFmtId="0" xfId="0" applyAlignment="1" applyFont="1">
      <alignment readingOrder="0"/>
    </xf>
    <xf borderId="0" fillId="6" fontId="5" numFmtId="167" xfId="0" applyFont="1" applyNumberFormat="1"/>
    <xf borderId="0" fillId="6" fontId="5" numFmtId="168" xfId="0" applyAlignment="1" applyFont="1" applyNumberFormat="1">
      <alignment readingOrder="0"/>
    </xf>
    <xf borderId="0" fillId="7" fontId="5" numFmtId="168" xfId="0" applyAlignment="1" applyFont="1" applyNumberFormat="1">
      <alignment readingOrder="0"/>
    </xf>
    <xf borderId="12" fillId="8" fontId="8" numFmtId="0" xfId="0" applyAlignment="1" applyBorder="1" applyFill="1" applyFont="1">
      <alignment horizontal="center" readingOrder="0"/>
    </xf>
    <xf borderId="13" fillId="8" fontId="4" numFmtId="0" xfId="0" applyBorder="1" applyFont="1"/>
    <xf borderId="2" fillId="8" fontId="4" numFmtId="0" xfId="0" applyBorder="1" applyFont="1"/>
    <xf borderId="1" fillId="9" fontId="8" numFmtId="0" xfId="0" applyAlignment="1" applyBorder="1" applyFill="1" applyFont="1">
      <alignment readingOrder="0"/>
    </xf>
    <xf borderId="0" fillId="0" fontId="8" numFmtId="0" xfId="0" applyAlignment="1" applyFont="1">
      <alignment horizontal="center" readingOrder="0"/>
    </xf>
    <xf borderId="1" fillId="10" fontId="5" numFmtId="0" xfId="0" applyAlignment="1" applyBorder="1" applyFill="1" applyFont="1">
      <alignment readingOrder="0"/>
    </xf>
    <xf borderId="1" fillId="10" fontId="5" numFmtId="167" xfId="0" applyAlignment="1" applyBorder="1" applyFont="1" applyNumberFormat="1">
      <alignment readingOrder="0"/>
    </xf>
    <xf borderId="1" fillId="10" fontId="5" numFmtId="167" xfId="0" applyBorder="1" applyFont="1" applyNumberFormat="1"/>
    <xf borderId="1" fillId="10" fontId="5" numFmtId="10" xfId="0" applyBorder="1" applyFont="1" applyNumberFormat="1"/>
    <xf borderId="1" fillId="9" fontId="5" numFmtId="0" xfId="0" applyAlignment="1" applyBorder="1" applyFont="1">
      <alignment readingOrder="0"/>
    </xf>
    <xf borderId="1" fillId="9" fontId="5" numFmtId="167" xfId="0" applyAlignment="1" applyBorder="1" applyFont="1" applyNumberFormat="1">
      <alignment readingOrder="0"/>
    </xf>
    <xf borderId="1" fillId="9" fontId="5" numFmtId="167" xfId="0" applyBorder="1" applyFont="1" applyNumberFormat="1"/>
    <xf borderId="1" fillId="9" fontId="5" numFmtId="10" xfId="0" applyBorder="1" applyFont="1" applyNumberFormat="1"/>
    <xf borderId="0" fillId="0" fontId="5" numFmtId="0" xfId="0" applyAlignment="1" applyFont="1">
      <alignment readingOrder="0"/>
    </xf>
    <xf borderId="1" fillId="0" fontId="7" numFmtId="0" xfId="0" applyAlignment="1" applyBorder="1" applyFont="1">
      <alignment readingOrder="0"/>
    </xf>
    <xf borderId="1" fillId="0" fontId="9" numFmtId="167" xfId="0" applyBorder="1" applyFont="1" applyNumberFormat="1"/>
    <xf borderId="1" fillId="0" fontId="9" numFmtId="0" xfId="0" applyAlignment="1" applyBorder="1" applyFont="1">
      <alignment readingOrder="0"/>
    </xf>
    <xf borderId="1" fillId="0" fontId="9" numFmtId="10" xfId="0" applyAlignment="1" applyBorder="1" applyFont="1" applyNumberFormat="1">
      <alignment readingOrder="0"/>
    </xf>
    <xf borderId="0" fillId="0" fontId="7" numFmtId="0" xfId="0" applyAlignment="1" applyFont="1">
      <alignment readingOrder="0"/>
    </xf>
    <xf borderId="1" fillId="0" fontId="7" numFmtId="0" xfId="0" applyAlignment="1" applyBorder="1" applyFont="1">
      <alignment horizontal="center" readingOrder="0"/>
    </xf>
    <xf borderId="1" fillId="0" fontId="9" numFmtId="0" xfId="0" applyAlignment="1" applyBorder="1" applyFont="1">
      <alignment readingOrder="0"/>
    </xf>
    <xf borderId="1" fillId="0" fontId="9" numFmtId="0" xfId="0" applyBorder="1" applyFont="1"/>
    <xf borderId="0" fillId="11" fontId="8" numFmtId="0" xfId="0" applyAlignment="1" applyFill="1" applyFont="1">
      <alignment horizontal="center" readingOrder="0"/>
    </xf>
    <xf borderId="0" fillId="12" fontId="8" numFmtId="0" xfId="0" applyAlignment="1" applyFill="1" applyFont="1">
      <alignment readingOrder="0"/>
    </xf>
    <xf borderId="0" fillId="13" fontId="10" numFmtId="0" xfId="0" applyAlignment="1" applyFill="1" applyFont="1">
      <alignment readingOrder="0" shrinkToFit="0" vertical="bottom" wrapText="0"/>
    </xf>
    <xf borderId="0" fillId="13" fontId="10" numFmtId="167" xfId="0" applyAlignment="1" applyFont="1" applyNumberFormat="1">
      <alignment readingOrder="0" shrinkToFit="0" vertical="bottom" wrapText="0"/>
    </xf>
    <xf borderId="0" fillId="12" fontId="10" numFmtId="0" xfId="0" applyAlignment="1" applyFont="1">
      <alignment readingOrder="0" shrinkToFit="0" vertical="bottom" wrapText="0"/>
    </xf>
    <xf borderId="0" fillId="12" fontId="10" numFmtId="167" xfId="0" applyAlignment="1" applyFont="1" applyNumberFormat="1">
      <alignment readingOrder="0" shrinkToFit="0" vertical="bottom" wrapText="0"/>
    </xf>
    <xf borderId="0" fillId="14" fontId="8" numFmtId="0" xfId="0" applyAlignment="1" applyFill="1" applyFont="1">
      <alignment horizontal="center" readingOrder="0"/>
    </xf>
    <xf borderId="0" fillId="6" fontId="8" numFmtId="0" xfId="0" applyAlignment="1" applyFont="1">
      <alignment horizontal="center" readingOrder="0"/>
    </xf>
    <xf borderId="0" fillId="15" fontId="5" numFmtId="0" xfId="0" applyAlignment="1" applyFill="1" applyFont="1">
      <alignment readingOrder="0"/>
    </xf>
    <xf borderId="0" fillId="6" fontId="5" numFmtId="0" xfId="0" applyFont="1"/>
    <xf borderId="0" fillId="15" fontId="5" numFmtId="0" xfId="0" applyFont="1"/>
    <xf borderId="0" fillId="13" fontId="5" numFmtId="0" xfId="0" applyAlignment="1" applyFont="1">
      <alignment readingOrder="0"/>
    </xf>
    <xf borderId="0" fillId="16" fontId="8" numFmtId="0" xfId="0" applyAlignment="1" applyFill="1" applyFont="1">
      <alignment horizontal="center" readingOrder="0"/>
    </xf>
    <xf borderId="0" fillId="6" fontId="8" numFmtId="0" xfId="0" applyAlignment="1" applyFont="1">
      <alignment horizontal="right" readingOrder="0"/>
    </xf>
    <xf borderId="0" fillId="17" fontId="5" numFmtId="0" xfId="0" applyAlignment="1" applyFill="1" applyFont="1">
      <alignment readingOrder="0"/>
    </xf>
    <xf borderId="0" fillId="17" fontId="5" numFmtId="0" xfId="0" applyFont="1"/>
    <xf borderId="0" fillId="18" fontId="8" numFmtId="0" xfId="0" applyAlignment="1" applyFill="1" applyFont="1">
      <alignment horizontal="center" readingOrder="0"/>
    </xf>
    <xf borderId="0" fillId="0" fontId="8" numFmtId="0" xfId="0" applyAlignment="1" applyFont="1">
      <alignment horizontal="center" readingOrder="0"/>
    </xf>
    <xf borderId="0" fillId="0" fontId="8" numFmtId="0" xfId="0" applyAlignment="1" applyFont="1">
      <alignment horizontal="right" readingOrder="0"/>
    </xf>
    <xf borderId="0" fillId="0" fontId="5" numFmtId="0" xfId="0" applyAlignment="1" applyFont="1">
      <alignment readingOrder="0"/>
    </xf>
    <xf borderId="0" fillId="0" fontId="5" numFmtId="0" xfId="0" applyAlignment="1" applyFont="1">
      <alignment horizontal="right"/>
    </xf>
    <xf borderId="0" fillId="0" fontId="5" numFmtId="2" xfId="0" applyAlignment="1" applyFont="1" applyNumberFormat="1">
      <alignment horizontal="right"/>
    </xf>
  </cellXfs>
  <cellStyles count="1">
    <cellStyle xfId="0" name="Normal" builtinId="0"/>
  </cellStyles>
  <dxfs count="13">
    <dxf>
      <font/>
      <fill>
        <patternFill patternType="none"/>
      </fill>
      <border/>
    </dxf>
    <dxf>
      <font>
        <b/>
        <color rgb="FF6AA84F"/>
      </font>
      <fill>
        <patternFill patternType="solid">
          <fgColor rgb="FFB7E1CD"/>
          <bgColor rgb="FFB7E1CD"/>
        </patternFill>
      </fill>
      <border/>
    </dxf>
    <dxf>
      <font/>
      <fill>
        <patternFill patternType="solid">
          <fgColor rgb="FFB7E1CD"/>
          <bgColor rgb="FFB7E1CD"/>
        </patternFill>
      </fill>
      <border/>
    </dxf>
    <dxf>
      <font>
        <color rgb="FF000000"/>
      </font>
      <fill>
        <patternFill patternType="solid">
          <fgColor rgb="FFFFD966"/>
          <bgColor rgb="FFFFD966"/>
        </patternFill>
      </fill>
      <border/>
    </dxf>
    <dxf>
      <font/>
      <fill>
        <patternFill patternType="solid">
          <fgColor rgb="FF93C47D"/>
          <bgColor rgb="FF93C47D"/>
        </patternFill>
      </fill>
      <border/>
    </dxf>
    <dxf>
      <font/>
      <fill>
        <patternFill patternType="solid">
          <fgColor rgb="FFE06666"/>
          <bgColor rgb="FFE06666"/>
        </patternFill>
      </fill>
      <border/>
    </dxf>
    <dxf>
      <font/>
      <fill>
        <patternFill patternType="solid">
          <fgColor rgb="FF9FC5E8"/>
          <bgColor rgb="FF9FC5E8"/>
        </patternFill>
      </fill>
      <border/>
    </dxf>
    <dxf>
      <font/>
      <fill>
        <patternFill patternType="solid">
          <fgColor rgb="FF00FFFF"/>
          <bgColor rgb="FF00FFFF"/>
        </patternFill>
      </fill>
      <border/>
    </dxf>
    <dxf>
      <font/>
      <fill>
        <patternFill patternType="solid">
          <fgColor rgb="FFFFE599"/>
          <bgColor rgb="FFFFE599"/>
        </patternFill>
      </fill>
      <border/>
    </dxf>
    <dxf>
      <font/>
      <fill>
        <patternFill patternType="solid">
          <fgColor rgb="FFF1C232"/>
          <bgColor rgb="FFF1C232"/>
        </patternFill>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s>
  <tableStyles count="2">
    <tableStyle count="3" pivot="0" name="DASHBOARD-style">
      <tableStyleElement dxfId="7" type="headerRow"/>
      <tableStyleElement dxfId="8" type="firstRowStripe"/>
      <tableStyleElement dxfId="9" type="secondRowStripe"/>
    </tableStyle>
    <tableStyle count="3" pivot="0" name="HR Analytics-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3.xml"/><Relationship Id="rId14"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Amount () vs. Region</a:t>
            </a:r>
          </a:p>
        </c:rich>
      </c:tx>
      <c:overlay val="0"/>
    </c:title>
    <c:plotArea>
      <c:layout/>
      <c:barChart>
        <c:barDir val="col"/>
        <c:ser>
          <c:idx val="0"/>
          <c:order val="0"/>
          <c:tx>
            <c:strRef>
              <c:f>'SALES PERFORMANCE DASHBOARD'!$C$15</c:f>
            </c:strRef>
          </c:tx>
          <c:spPr>
            <a:solidFill>
              <a:schemeClr val="accent1"/>
            </a:solidFill>
            <a:ln cmpd="sng">
              <a:solidFill>
                <a:srgbClr val="000000"/>
              </a:solidFill>
            </a:ln>
          </c:spPr>
          <c:cat>
            <c:strRef>
              <c:f>'SALES PERFORMANCE DASHBOARD'!$B$16:$B$20</c:f>
            </c:strRef>
          </c:cat>
          <c:val>
            <c:numRef>
              <c:f>'SALES PERFORMANCE DASHBOARD'!$C$16:$C$20</c:f>
              <c:numCache/>
            </c:numRef>
          </c:val>
        </c:ser>
        <c:axId val="950968900"/>
        <c:axId val="600186921"/>
      </c:barChart>
      <c:catAx>
        <c:axId val="9509689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600186921"/>
      </c:catAx>
      <c:valAx>
        <c:axId val="6001869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09689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Amount () vs. Salesperson</a:t>
            </a:r>
          </a:p>
        </c:rich>
      </c:tx>
      <c:overlay val="0"/>
    </c:title>
    <c:plotArea>
      <c:layout/>
      <c:barChart>
        <c:barDir val="bar"/>
        <c:ser>
          <c:idx val="0"/>
          <c:order val="0"/>
          <c:tx>
            <c:strRef>
              <c:f>'SALES PERFORMANCE DASHBOARD'!$C$35</c:f>
            </c:strRef>
          </c:tx>
          <c:spPr>
            <a:solidFill>
              <a:schemeClr val="accent1"/>
            </a:solidFill>
            <a:ln cmpd="sng">
              <a:solidFill>
                <a:srgbClr val="000000"/>
              </a:solidFill>
            </a:ln>
          </c:spPr>
          <c:cat>
            <c:strRef>
              <c:f>'SALES PERFORMANCE DASHBOARD'!$B$36:$B$42</c:f>
            </c:strRef>
          </c:cat>
          <c:val>
            <c:numRef>
              <c:f>'SALES PERFORMANCE DASHBOARD'!$C$36:$C$42</c:f>
              <c:numCache/>
            </c:numRef>
          </c:val>
        </c:ser>
        <c:axId val="673308836"/>
        <c:axId val="746494031"/>
      </c:barChart>
      <c:catAx>
        <c:axId val="6733088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Salesperson</a:t>
                </a:r>
              </a:p>
            </c:rich>
          </c:tx>
          <c:overlay val="0"/>
        </c:title>
        <c:numFmt formatCode="General" sourceLinked="1"/>
        <c:majorTickMark val="none"/>
        <c:minorTickMark val="none"/>
        <c:spPr/>
        <c:txPr>
          <a:bodyPr/>
          <a:lstStyle/>
          <a:p>
            <a:pPr lvl="0">
              <a:defRPr b="0">
                <a:solidFill>
                  <a:srgbClr val="000000"/>
                </a:solidFill>
                <a:latin typeface="+mn-lt"/>
              </a:defRPr>
            </a:pPr>
          </a:p>
        </c:txPr>
        <c:crossAx val="746494031"/>
      </c:catAx>
      <c:valAx>
        <c:axId val="746494031"/>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330883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Amount () vs. Date - Month</a:t>
            </a:r>
          </a:p>
        </c:rich>
      </c:tx>
      <c:overlay val="0"/>
    </c:title>
    <c:plotArea>
      <c:layout/>
      <c:lineChart>
        <c:varyColors val="0"/>
        <c:ser>
          <c:idx val="0"/>
          <c:order val="0"/>
          <c:tx>
            <c:strRef>
              <c:f>'SALES PERFORMANCE DASHBOARD'!$C$66</c:f>
            </c:strRef>
          </c:tx>
          <c:spPr>
            <a:ln cmpd="sng">
              <a:solidFill>
                <a:srgbClr val="4285F4"/>
              </a:solidFill>
            </a:ln>
          </c:spPr>
          <c:marker>
            <c:symbol val="none"/>
          </c:marker>
          <c:cat>
            <c:strRef>
              <c:f>'SALES PERFORMANCE DASHBOARD'!$B$67:$B$79</c:f>
            </c:strRef>
          </c:cat>
          <c:val>
            <c:numRef>
              <c:f>'SALES PERFORMANCE DASHBOARD'!$C$67:$C$79</c:f>
              <c:numCache/>
            </c:numRef>
          </c:val>
          <c:smooth val="0"/>
        </c:ser>
        <c:axId val="184807729"/>
        <c:axId val="1462480559"/>
      </c:lineChart>
      <c:catAx>
        <c:axId val="184807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462480559"/>
      </c:catAx>
      <c:valAx>
        <c:axId val="14624805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80772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and EXPENSES</a:t>
            </a:r>
          </a:p>
        </c:rich>
      </c:tx>
      <c:overlay val="0"/>
    </c:title>
    <c:plotArea>
      <c:layout/>
      <c:barChart>
        <c:barDir val="col"/>
        <c:ser>
          <c:idx val="0"/>
          <c:order val="0"/>
          <c:tx>
            <c:strRef>
              <c:f>' Monthly Sales Report with 4 ch'!$B$1:$B$2</c:f>
            </c:strRef>
          </c:tx>
          <c:spPr>
            <a:solidFill>
              <a:schemeClr val="accent1"/>
            </a:solidFill>
            <a:ln cmpd="sng">
              <a:solidFill>
                <a:srgbClr val="000000"/>
              </a:solidFill>
            </a:ln>
          </c:spPr>
          <c:cat>
            <c:strRef>
              <c:f>' Monthly Sales Report with 4 ch'!$A$3:$A$14</c:f>
            </c:strRef>
          </c:cat>
          <c:val>
            <c:numRef>
              <c:f>' Monthly Sales Report with 4 ch'!$B$3:$B$14</c:f>
              <c:numCache/>
            </c:numRef>
          </c:val>
        </c:ser>
        <c:ser>
          <c:idx val="1"/>
          <c:order val="1"/>
          <c:tx>
            <c:strRef>
              <c:f>' Monthly Sales Report with 4 ch'!$C$1:$C$2</c:f>
            </c:strRef>
          </c:tx>
          <c:spPr>
            <a:solidFill>
              <a:schemeClr val="accent2"/>
            </a:solidFill>
            <a:ln cmpd="sng">
              <a:solidFill>
                <a:srgbClr val="000000"/>
              </a:solidFill>
            </a:ln>
          </c:spPr>
          <c:cat>
            <c:strRef>
              <c:f>' Monthly Sales Report with 4 ch'!$A$3:$A$14</c:f>
            </c:strRef>
          </c:cat>
          <c:val>
            <c:numRef>
              <c:f>' Monthly Sales Report with 4 ch'!$C$3:$C$14</c:f>
              <c:numCache/>
            </c:numRef>
          </c:val>
        </c:ser>
        <c:axId val="1110787746"/>
        <c:axId val="1503153161"/>
      </c:barChart>
      <c:catAx>
        <c:axId val="11107877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a:t>
                </a:r>
              </a:p>
            </c:rich>
          </c:tx>
          <c:overlay val="0"/>
        </c:title>
        <c:numFmt formatCode="General" sourceLinked="1"/>
        <c:majorTickMark val="none"/>
        <c:minorTickMark val="none"/>
        <c:spPr/>
        <c:txPr>
          <a:bodyPr/>
          <a:lstStyle/>
          <a:p>
            <a:pPr lvl="0">
              <a:defRPr b="0">
                <a:solidFill>
                  <a:srgbClr val="000000"/>
                </a:solidFill>
                <a:latin typeface="+mn-lt"/>
              </a:defRPr>
            </a:pPr>
          </a:p>
        </c:txPr>
        <c:crossAx val="1503153161"/>
      </c:catAx>
      <c:valAx>
        <c:axId val="1503153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078774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MONTH </a:t>
            </a:r>
          </a:p>
        </c:rich>
      </c:tx>
      <c:overlay val="0"/>
    </c:title>
    <c:plotArea>
      <c:layout/>
      <c:lineChart>
        <c:varyColors val="0"/>
        <c:ser>
          <c:idx val="0"/>
          <c:order val="0"/>
          <c:tx>
            <c:strRef>
              <c:f>' Monthly Sales Report with 4 ch'!$D$1:$D$2</c:f>
            </c:strRef>
          </c:tx>
          <c:spPr>
            <a:ln cmpd="sng">
              <a:solidFill>
                <a:srgbClr val="4285F4"/>
              </a:solidFill>
            </a:ln>
          </c:spPr>
          <c:marker>
            <c:symbol val="circle"/>
            <c:size val="5"/>
            <c:spPr>
              <a:solidFill>
                <a:srgbClr val="4285F4"/>
              </a:solidFill>
              <a:ln cmpd="sng">
                <a:solidFill>
                  <a:srgbClr val="4285F4"/>
                </a:solidFill>
              </a:ln>
            </c:spPr>
          </c:marker>
          <c:cat>
            <c:strRef>
              <c:f>' Monthly Sales Report with 4 ch'!$A$3:$A$14</c:f>
            </c:strRef>
          </c:cat>
          <c:val>
            <c:numRef>
              <c:f>' Monthly Sales Report with 4 ch'!$D$3:$D$14</c:f>
              <c:numCache/>
            </c:numRef>
          </c:val>
          <c:smooth val="0"/>
        </c:ser>
        <c:axId val="1178778781"/>
        <c:axId val="1095769737"/>
      </c:lineChart>
      <c:catAx>
        <c:axId val="11787787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a:t>
                </a:r>
              </a:p>
            </c:rich>
          </c:tx>
          <c:overlay val="0"/>
        </c:title>
        <c:numFmt formatCode="General" sourceLinked="1"/>
        <c:majorTickMark val="none"/>
        <c:minorTickMark val="none"/>
        <c:spPr/>
        <c:txPr>
          <a:bodyPr/>
          <a:lstStyle/>
          <a:p>
            <a:pPr lvl="0">
              <a:defRPr b="0">
                <a:solidFill>
                  <a:srgbClr val="000000"/>
                </a:solidFill>
                <a:latin typeface="+mn-lt"/>
              </a:defRPr>
            </a:pPr>
          </a:p>
        </c:txPr>
        <c:crossAx val="1095769737"/>
      </c:catAx>
      <c:valAx>
        <c:axId val="10957697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877878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SALES</a:t>
            </a:r>
          </a:p>
        </c:rich>
      </c:tx>
      <c:overlay val="0"/>
    </c:title>
    <c:plotArea>
      <c:layout/>
      <c:barChart>
        <c:barDir val="col"/>
        <c:ser>
          <c:idx val="1"/>
          <c:order val="1"/>
          <c:tx>
            <c:strRef>
              <c:f>' Monthly Sales Report with 4 ch'!$B$1:$B$2</c:f>
            </c:strRef>
          </c:tx>
          <c:spPr>
            <a:solidFill>
              <a:schemeClr val="accent2"/>
            </a:solidFill>
            <a:ln cmpd="sng">
              <a:solidFill>
                <a:srgbClr val="000000"/>
              </a:solidFill>
            </a:ln>
          </c:spPr>
          <c:cat>
            <c:strRef>
              <c:f>' Monthly Sales Report with 4 ch'!$A$3:$A$14</c:f>
            </c:strRef>
          </c:cat>
          <c:val>
            <c:numRef>
              <c:f>' Monthly Sales Report with 4 ch'!$B$3:$B$14</c:f>
              <c:numCache/>
            </c:numRef>
          </c:val>
        </c:ser>
        <c:axId val="294067021"/>
        <c:axId val="1064029343"/>
      </c:barChart>
      <c:catAx>
        <c:axId val="2940670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4029343"/>
      </c:catAx>
      <c:valAx>
        <c:axId val="10640293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4067021"/>
      </c:valAx>
      <c:lineChart>
        <c:varyColors val="0"/>
        <c:ser>
          <c:idx val="0"/>
          <c:order val="0"/>
          <c:tx>
            <c:strRef>
              <c:f>' Monthly Sales Report with 4 ch'!$E$1:$E$2</c:f>
            </c:strRef>
          </c:tx>
          <c:spPr>
            <a:ln cmpd="sng">
              <a:solidFill>
                <a:srgbClr val="4285F4"/>
              </a:solidFill>
            </a:ln>
          </c:spPr>
          <c:marker>
            <c:symbol val="none"/>
          </c:marker>
          <c:cat>
            <c:strRef>
              <c:f>' Monthly Sales Report with 4 ch'!$A$3:$A$14</c:f>
            </c:strRef>
          </c:cat>
          <c:val>
            <c:numRef>
              <c:f>' Monthly Sales Report with 4 ch'!$E$3:$E$14</c:f>
              <c:numCache/>
            </c:numRef>
          </c:val>
          <c:smooth val="0"/>
        </c:ser>
        <c:axId val="1402536920"/>
        <c:axId val="27844474"/>
      </c:lineChart>
      <c:catAx>
        <c:axId val="140253692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7844474"/>
      </c:catAx>
      <c:valAx>
        <c:axId val="2784447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253692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6</xdr:row>
      <xdr:rowOff>142875</xdr:rowOff>
    </xdr:from>
    <xdr:ext cx="13363575" cy="4352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66675</xdr:colOff>
      <xdr:row>33</xdr:row>
      <xdr:rowOff>57150</xdr:rowOff>
    </xdr:from>
    <xdr:ext cx="13363575" cy="4572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209550</xdr:colOff>
      <xdr:row>60</xdr:row>
      <xdr:rowOff>171450</xdr:rowOff>
    </xdr:from>
    <xdr:ext cx="13411200" cy="52101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266700</xdr:colOff>
      <xdr:row>3</xdr:row>
      <xdr:rowOff>85725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266700</xdr:colOff>
      <xdr:row>7</xdr:row>
      <xdr:rowOff>66675</xdr:rowOff>
    </xdr:from>
    <xdr:ext cx="2857500" cy="2857500"/>
    <mc:AlternateContent>
      <mc:Choice Requires="sle15">
        <xdr:graphicFrame>
          <xdr:nvGraphicFramePr>
            <xdr:cNvPr id="2" name="Date - Month_2"/>
            <xdr:cNvGraphicFramePr/>
          </xdr:nvGraphicFramePr>
          <xdr:xfrm>
            <a:off x="0" y="0"/>
            <a:ext cx="0" cy="0"/>
          </xdr:xfrm>
          <a:graphic>
            <a:graphicData uri="http://schemas.microsoft.com/office/drawing/2010/slicer">
              <x3Unk:slicer name="Date - 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266700</xdr:colOff>
      <xdr:row>4</xdr:row>
      <xdr:rowOff>466725</xdr:rowOff>
    </xdr:from>
    <xdr:ext cx="2857500" cy="2857500"/>
    <mc:AlternateContent>
      <mc:Choice Requires="sle15">
        <xdr:graphicFrame>
          <xdr:nvGraphicFramePr>
            <xdr:cNvPr id="3" name="Salesperson_3"/>
            <xdr:cNvGraphicFramePr/>
          </xdr:nvGraphicFramePr>
          <xdr:xfrm>
            <a:off x="0" y="0"/>
            <a:ext cx="0" cy="0"/>
          </xdr:xfrm>
          <a:graphic>
            <a:graphicData uri="http://schemas.microsoft.com/office/drawing/2010/slicer">
              <x3Unk:slicer name="Salespers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10</xdr:row>
      <xdr:rowOff>485775</xdr:rowOff>
    </xdr:from>
    <xdr:ext cx="10010775" cy="58864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10</xdr:row>
      <xdr:rowOff>485775</xdr:rowOff>
    </xdr:from>
    <xdr:ext cx="8429625" cy="588645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933450</xdr:colOff>
      <xdr:row>49</xdr:row>
      <xdr:rowOff>190500</xdr:rowOff>
    </xdr:from>
    <xdr:ext cx="10067925" cy="55626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49" sheet="SALES DATA"/>
  </cacheSource>
  <cacheFields>
    <cacheField name="Date" numFmtId="164">
      <sharedItems containsSemiMixedTypes="0" containsDate="1" containsString="0">
        <d v="2024-01-05T00:00:00Z"/>
        <d v="2024-01-12T00:00:00Z"/>
        <d v="2024-01-18T00:00:00Z"/>
        <d v="2024-01-25T00:00:00Z"/>
        <d v="2024-02-03T00:00:00Z"/>
        <d v="2024-02-10T00:00:00Z"/>
        <d v="2024-02-17T00:00:00Z"/>
        <d v="2024-02-22T00:00:00Z"/>
        <d v="2024-03-04T00:00:00Z"/>
        <d v="2024-03-11T00:00:00Z"/>
        <d v="2024-03-19T00:00:00Z"/>
        <d v="2024-03-26T00:00:00Z"/>
        <d v="2024-04-02T00:00:00Z"/>
        <d v="2024-04-09T00:00:00Z"/>
        <d v="2024-04-15T00:00:00Z"/>
        <d v="2024-04-23T00:00:00Z"/>
        <d v="2024-05-06T00:00:00Z"/>
        <d v="2024-05-13T00:00:00Z"/>
        <d v="2024-05-20T00:00:00Z"/>
        <d v="2024-05-27T00:00:00Z"/>
        <d v="2024-06-03T00:00:00Z"/>
        <d v="2024-06-10T00:00:00Z"/>
        <d v="2024-06-18T00:00:00Z"/>
        <d v="2024-06-25T00:00:00Z"/>
        <d v="2024-07-02T00:00:00Z"/>
        <d v="2024-07-09T00:00:00Z"/>
        <d v="2024-07-16T00:00:00Z"/>
        <d v="2024-07-23T00:00:00Z"/>
        <d v="2024-08-05T00:00:00Z"/>
        <d v="2024-08-12T00:00:00Z"/>
        <d v="2024-08-19T00:00:00Z"/>
        <d v="2024-08-26T00:00:00Z"/>
        <d v="2024-09-03T00:00:00Z"/>
        <d v="2024-09-10T00:00:00Z"/>
        <d v="2024-09-17T00:00:00Z"/>
        <d v="2024-09-24T00:00:00Z"/>
        <d v="2024-10-01T00:00:00Z"/>
        <d v="2024-10-08T00:00:00Z"/>
        <d v="2024-10-15T00:00:00Z"/>
        <d v="2024-10-22T00:00:00Z"/>
        <d v="2024-11-05T00:00:00Z"/>
        <d v="2024-11-12T00:00:00Z"/>
        <d v="2024-11-19T00:00:00Z"/>
        <d v="2024-11-26T00:00:00Z"/>
        <d v="2024-12-03T00:00:00Z"/>
        <d v="2024-12-10T00:00:00Z"/>
        <d v="2024-12-17T00:00:00Z"/>
        <d v="2024-12-24T00:00:00Z"/>
      </sharedItems>
    </cacheField>
    <cacheField name="Salesperson" numFmtId="0">
      <sharedItems>
        <s v="Aarav Sharma"/>
        <s v="Priya Patel"/>
        <s v="Vikram Singh"/>
        <s v="Ananya Reddy"/>
        <s v="Rohit Kumar"/>
        <s v="Sneha Iyer"/>
      </sharedItems>
    </cacheField>
    <cacheField name="Region" numFmtId="0">
      <sharedItems>
        <s v="North"/>
        <s v="South"/>
        <s v="East"/>
        <s v="West"/>
      </sharedItems>
    </cacheField>
    <cacheField name="Product" numFmtId="0">
      <sharedItems>
        <s v="Laptop"/>
        <s v="Mobile"/>
        <s v="Tablet"/>
        <s v="Headphones"/>
      </sharedItems>
    </cacheField>
    <cacheField name="Sales Amount ()" numFmtId="4">
      <sharedItems containsSemiMixedTypes="0" containsString="0" containsNumber="1" containsInteger="1">
        <n v="85000.0"/>
        <n v="32000.0"/>
        <n v="28000.0"/>
        <n v="92000.0"/>
        <n v="45000.0"/>
        <n v="18000.0"/>
        <n v="78000.0"/>
        <n v="35000.0"/>
        <n v="52000.0"/>
        <n v="96000.0"/>
        <n v="22000.0"/>
        <n v="41000.0"/>
        <n v="38000.0"/>
        <n v="88000.0"/>
        <n v="25000.0"/>
        <n v="47000.0"/>
        <n v="74000.0"/>
        <n v="33000.0"/>
        <n v="56000.0"/>
        <n v="19000.0"/>
        <n v="82000.0"/>
        <n v="44000.0"/>
        <n v="61000.0"/>
        <n v="91000.0"/>
        <n v="27000.0"/>
        <n v="95000.0"/>
        <n v="43000.0"/>
        <n v="87000.0"/>
        <n v="49000.0"/>
        <n v="36000.0"/>
        <n v="93000.0"/>
        <n v="31000.0"/>
        <n v="55000.0"/>
        <n v="79000.0"/>
        <n v="42000.0"/>
        <n v="98000.0"/>
        <n v="53000.0"/>
        <n v="23000.0"/>
        <n v="86000.0"/>
        <n v="39000.0"/>
        <n v="94000.0"/>
        <n v="64000.0"/>
        <n v="46000.0"/>
        <n v="89000.0"/>
        <n v="58000.0"/>
        <n v="29000.0"/>
        <n v="9700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49" sheet="SALES DATA"/>
  </cacheSource>
  <cacheFields>
    <cacheField name="Date" numFmtId="164">
      <sharedItems containsSemiMixedTypes="0" containsNonDate="0" containsDate="1" containsString="0" minDate="2024-01-05T00:00:00Z" maxDate="2024-12-25T00:00:00Z">
        <d v="2024-01-05T00:00:00Z"/>
        <d v="2024-01-12T00:00:00Z"/>
        <d v="2024-01-18T00:00:00Z"/>
        <d v="2024-01-25T00:00:00Z"/>
        <d v="2024-02-03T00:00:00Z"/>
        <d v="2024-02-10T00:00:00Z"/>
        <d v="2024-02-17T00:00:00Z"/>
        <d v="2024-02-22T00:00:00Z"/>
        <d v="2024-03-04T00:00:00Z"/>
        <d v="2024-03-11T00:00:00Z"/>
        <d v="2024-03-19T00:00:00Z"/>
        <d v="2024-03-26T00:00:00Z"/>
        <d v="2024-04-02T00:00:00Z"/>
        <d v="2024-04-09T00:00:00Z"/>
        <d v="2024-04-15T00:00:00Z"/>
        <d v="2024-04-23T00:00:00Z"/>
        <d v="2024-05-06T00:00:00Z"/>
        <d v="2024-05-13T00:00:00Z"/>
        <d v="2024-05-20T00:00:00Z"/>
        <d v="2024-05-27T00:00:00Z"/>
        <d v="2024-06-03T00:00:00Z"/>
        <d v="2024-06-10T00:00:00Z"/>
        <d v="2024-06-18T00:00:00Z"/>
        <d v="2024-06-25T00:00:00Z"/>
        <d v="2024-07-02T00:00:00Z"/>
        <d v="2024-07-09T00:00:00Z"/>
        <d v="2024-07-16T00:00:00Z"/>
        <d v="2024-07-23T00:00:00Z"/>
        <d v="2024-08-05T00:00:00Z"/>
        <d v="2024-08-12T00:00:00Z"/>
        <d v="2024-08-19T00:00:00Z"/>
        <d v="2024-08-26T00:00:00Z"/>
        <d v="2024-09-03T00:00:00Z"/>
        <d v="2024-09-10T00:00:00Z"/>
        <d v="2024-09-17T00:00:00Z"/>
        <d v="2024-09-24T00:00:00Z"/>
        <d v="2024-10-01T00:00:00Z"/>
        <d v="2024-10-08T00:00:00Z"/>
        <d v="2024-10-15T00:00:00Z"/>
        <d v="2024-10-22T00:00:00Z"/>
        <d v="2024-11-05T00:00:00Z"/>
        <d v="2024-11-12T00:00:00Z"/>
        <d v="2024-11-19T00:00:00Z"/>
        <d v="2024-11-26T00:00:00Z"/>
        <d v="2024-12-03T00:00:00Z"/>
        <d v="2024-12-10T00:00:00Z"/>
        <d v="2024-12-17T00:00:00Z"/>
        <d v="2024-12-24T00:00:00Z"/>
      </sharedItems>
      <fieldGroup base="0">
        <rangePr autoStart="0" autoEnd="0" groupBy="months" startDate="2024-01-05T00:00:00Z" endDate="2024-12-25T00:00:00Z"/>
        <groupItems>
          <s v="&lt;01/05/24"/>
          <s v="Jan"/>
          <s v="Feb"/>
          <s v="Mar"/>
          <s v="Apr"/>
          <s v="May"/>
          <s v="Jun"/>
          <s v="Jul"/>
          <s v="Aug"/>
          <s v="Sep"/>
          <s v="Oct"/>
          <s v="Nov"/>
          <s v="Dec"/>
          <s v="&gt;12/25/24"/>
        </groupItems>
      </fieldGroup>
    </cacheField>
    <cacheField name="Salesperson" numFmtId="0">
      <sharedItems>
        <s v="Aarav Sharma"/>
        <s v="Priya Patel"/>
        <s v="Vikram Singh"/>
        <s v="Ananya Reddy"/>
        <s v="Rohit Kumar"/>
        <s v="Sneha Iyer"/>
      </sharedItems>
    </cacheField>
    <cacheField name="Region" numFmtId="0">
      <sharedItems>
        <s v="North"/>
        <s v="South"/>
        <s v="East"/>
        <s v="West"/>
      </sharedItems>
    </cacheField>
    <cacheField name="Product" numFmtId="0">
      <sharedItems>
        <s v="Laptop"/>
        <s v="Mobile"/>
        <s v="Tablet"/>
        <s v="Headphones"/>
      </sharedItems>
    </cacheField>
    <cacheField name="Sales Amount ()" numFmtId="4">
      <sharedItems containsSemiMixedTypes="0" containsString="0" containsNumber="1" containsInteger="1">
        <n v="85000.0"/>
        <n v="32000.0"/>
        <n v="28000.0"/>
        <n v="92000.0"/>
        <n v="45000.0"/>
        <n v="18000.0"/>
        <n v="78000.0"/>
        <n v="35000.0"/>
        <n v="52000.0"/>
        <n v="96000.0"/>
        <n v="22000.0"/>
        <n v="41000.0"/>
        <n v="38000.0"/>
        <n v="88000.0"/>
        <n v="25000.0"/>
        <n v="47000.0"/>
        <n v="74000.0"/>
        <n v="33000.0"/>
        <n v="56000.0"/>
        <n v="19000.0"/>
        <n v="82000.0"/>
        <n v="44000.0"/>
        <n v="61000.0"/>
        <n v="91000.0"/>
        <n v="27000.0"/>
        <n v="95000.0"/>
        <n v="43000.0"/>
        <n v="87000.0"/>
        <n v="49000.0"/>
        <n v="36000.0"/>
        <n v="93000.0"/>
        <n v="31000.0"/>
        <n v="55000.0"/>
        <n v="79000.0"/>
        <n v="42000.0"/>
        <n v="98000.0"/>
        <n v="53000.0"/>
        <n v="23000.0"/>
        <n v="86000.0"/>
        <n v="39000.0"/>
        <n v="94000.0"/>
        <n v="64000.0"/>
        <n v="46000.0"/>
        <n v="89000.0"/>
        <n v="58000.0"/>
        <n v="29000.0"/>
        <n v="970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ALES PERFORMANCE DASHBOARD" cacheId="0" dataCaption="" rowGrandTotals="0" compact="0" compactData="0">
  <location ref="B15:C19"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sperson" compact="0" outline="0" multipleItemSelectionAllowed="1" showAll="0">
      <items>
        <item x="0"/>
        <item x="1"/>
        <item x="2"/>
        <item x="3"/>
        <item x="4"/>
        <item x="5"/>
        <item t="default"/>
      </items>
    </pivotField>
    <pivotField name="Region" axis="axisRow" compact="0" outline="0" multipleItemSelectionAllowed="1" showAll="0" sortType="ascending">
      <items>
        <item x="2"/>
        <item x="0"/>
        <item x="1"/>
        <item x="3"/>
        <item t="default"/>
      </items>
    </pivotField>
    <pivotField name="Product" compact="0" outline="0" multipleItemSelectionAllowed="1" showAll="0">
      <items>
        <item x="0"/>
        <item x="1"/>
        <item x="2"/>
        <item x="3"/>
        <item t="default"/>
      </items>
    </pivotField>
    <pivotField name="Sales Amount ()"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2"/>
  </rowFields>
  <dataFields>
    <dataField name="SUM of Sales Amount ()" fld="4" baseField="0"/>
  </dataFields>
</pivotTableDefinition>
</file>

<file path=xl/pivotTables/pivotTable2.xml><?xml version="1.0" encoding="utf-8"?>
<pivotTableDefinition xmlns="http://schemas.openxmlformats.org/spreadsheetml/2006/main" name="SALES PERFORMANCE DASHBOARD 2" cacheId="0" dataCaption="" rowGrandTotals="0" compact="0" compactData="0">
  <location ref="B35:C41"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sperson" axis="axisRow" compact="0" outline="0" multipleItemSelectionAllowed="1" showAll="0" sortType="ascending">
      <items>
        <item x="0"/>
        <item x="3"/>
        <item x="1"/>
        <item x="4"/>
        <item x="5"/>
        <item x="2"/>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x="3"/>
        <item t="default"/>
      </items>
    </pivotField>
    <pivotField name="Sales Amount ()"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1"/>
  </rowFields>
  <dataFields>
    <dataField name="SUM of Sales Amount ()" fld="4" baseField="0"/>
  </dataFields>
</pivotTableDefinition>
</file>

<file path=xl/pivotTables/pivotTable3.xml><?xml version="1.0" encoding="utf-8"?>
<pivotTableDefinition xmlns="http://schemas.openxmlformats.org/spreadsheetml/2006/main" name="SALES PERFORMANCE DASHBOARD 3" cacheId="1" dataCaption="" rowGrandTotals="0" compact="0" compactData="0">
  <location ref="B66:C78"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Salesperson" compact="0" outline="0" multipleItemSelectionAllowed="1" showAll="0">
      <items>
        <item x="0"/>
        <item x="1"/>
        <item x="2"/>
        <item x="3"/>
        <item x="4"/>
        <item x="5"/>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x="3"/>
        <item t="default"/>
      </items>
    </pivotField>
    <pivotField name="Sales Amount ()"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0"/>
  </rowFields>
  <dataFields>
    <dataField name="SUM of Sales Amount ()"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Regio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Salesperson">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Date - Month">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 caption="Region" rowHeight="247650"/>
  <x14:slicer name="Date - Month_2" cache="SlicerCache_Table_3_Col_1" caption="Date - Month" rowHeight="247650"/>
  <x14:slicer name="Salesperson_3" cache="SlicerCache_Table_2_Col_1" caption="Salesperson" rowHeight="247650"/>
</x14:slicers>
</file>

<file path=xl/tables/table1.xml><?xml version="1.0" encoding="utf-8"?>
<table xmlns="http://schemas.openxmlformats.org/spreadsheetml/2006/main" ref="B15:C20" displayName="Table_1" name="Table_1" id="1">
  <autoFilter ref="$B$15:$C$20"/>
  <tableColumns count="2">
    <tableColumn name="Region" id="1"/>
    <tableColumn name="SUM of Sales Amount ()" id="2"/>
  </tableColumns>
  <tableStyleInfo showColumnStripes="0" showFirstColumn="0" showLastColumn="0" showRowStripes="0"/>
</table>
</file>

<file path=xl/tables/table2.xml><?xml version="1.0" encoding="utf-8"?>
<table xmlns="http://schemas.openxmlformats.org/spreadsheetml/2006/main" ref="B35:C41" displayName="Table_2" name="Table_2" id="2">
  <autoFilter ref="$B$35:$C$41"/>
  <tableColumns count="2">
    <tableColumn name="Salesperson" id="1"/>
    <tableColumn name="SUM of Sales Amount ()" id="2"/>
  </tableColumns>
  <tableStyleInfo showColumnStripes="0" showFirstColumn="0" showLastColumn="0" showRowStripes="0"/>
</table>
</file>

<file path=xl/tables/table3.xml><?xml version="1.0" encoding="utf-8"?>
<table xmlns="http://schemas.openxmlformats.org/spreadsheetml/2006/main" ref="B66:C78" displayName="Table_3" name="Table_3" id="3">
  <autoFilter ref="$B$66:$C$78"/>
  <tableColumns count="2">
    <tableColumn name="Date - Month" id="1"/>
    <tableColumn name="SUM of Sales Amount ()" id="2"/>
  </tableColumns>
  <tableStyleInfo showColumnStripes="0" showFirstColumn="0" showLastColumn="0" showRowStripes="0"/>
</table>
</file>

<file path=xl/tables/table4.xml><?xml version="1.0" encoding="utf-8"?>
<table xmlns="http://schemas.openxmlformats.org/spreadsheetml/2006/main" ref="L57:M61" displayName="Table_4" name="Table_4" id="4">
  <tableColumns count="2">
    <tableColumn name="Metric" id="1"/>
    <tableColumn name="Trend" id="2"/>
  </tableColumns>
  <tableStyleInfo name="DASHBOARD-style" showColumnStripes="0" showFirstColumn="1" showLastColumn="1" showRowStripes="1"/>
</table>
</file>

<file path=xl/tables/table5.xml><?xml version="1.0" encoding="utf-8"?>
<table xmlns="http://schemas.openxmlformats.org/spreadsheetml/2006/main" ref="I27:J31" displayName="Table_5" name="Table_5" id="5">
  <tableColumns count="2">
    <tableColumn name="Region" id="1"/>
    <tableColumn name="Avg Salary" id="2"/>
  </tableColumns>
  <tableStyleInfo name="HR Analyt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11" Type="http://schemas.microsoft.com/office/2007/relationships/slicer" Target="../slicers/slicer1.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4.63"/>
  </cols>
  <sheetData>
    <row r="1">
      <c r="A1" s="1" t="s">
        <v>0</v>
      </c>
      <c r="B1" s="2" t="s">
        <v>1</v>
      </c>
      <c r="C1" s="2" t="s">
        <v>2</v>
      </c>
      <c r="D1" s="2" t="s">
        <v>3</v>
      </c>
      <c r="E1" s="3" t="s">
        <v>4</v>
      </c>
    </row>
    <row r="2">
      <c r="A2" s="4">
        <v>45296.0</v>
      </c>
      <c r="B2" s="5" t="s">
        <v>5</v>
      </c>
      <c r="C2" s="5" t="s">
        <v>6</v>
      </c>
      <c r="D2" s="5" t="s">
        <v>7</v>
      </c>
      <c r="E2" s="6">
        <v>85000.0</v>
      </c>
    </row>
    <row r="3">
      <c r="A3" s="7">
        <v>45303.0</v>
      </c>
      <c r="B3" s="8" t="s">
        <v>8</v>
      </c>
      <c r="C3" s="8" t="s">
        <v>9</v>
      </c>
      <c r="D3" s="8" t="s">
        <v>10</v>
      </c>
      <c r="E3" s="9">
        <v>32000.0</v>
      </c>
    </row>
    <row r="4">
      <c r="A4" s="4">
        <v>45309.0</v>
      </c>
      <c r="B4" s="5" t="s">
        <v>11</v>
      </c>
      <c r="C4" s="5" t="s">
        <v>12</v>
      </c>
      <c r="D4" s="5" t="s">
        <v>13</v>
      </c>
      <c r="E4" s="6">
        <v>28000.0</v>
      </c>
    </row>
    <row r="5">
      <c r="A5" s="7">
        <v>45316.0</v>
      </c>
      <c r="B5" s="8" t="s">
        <v>14</v>
      </c>
      <c r="C5" s="8" t="s">
        <v>15</v>
      </c>
      <c r="D5" s="8" t="s">
        <v>7</v>
      </c>
      <c r="E5" s="9">
        <v>92000.0</v>
      </c>
    </row>
    <row r="6">
      <c r="A6" s="4">
        <v>45325.0</v>
      </c>
      <c r="B6" s="5" t="s">
        <v>16</v>
      </c>
      <c r="C6" s="5" t="s">
        <v>6</v>
      </c>
      <c r="D6" s="5" t="s">
        <v>10</v>
      </c>
      <c r="E6" s="6">
        <v>45000.0</v>
      </c>
    </row>
    <row r="7">
      <c r="A7" s="7">
        <v>45332.0</v>
      </c>
      <c r="B7" s="8" t="s">
        <v>17</v>
      </c>
      <c r="C7" s="8" t="s">
        <v>9</v>
      </c>
      <c r="D7" s="8" t="s">
        <v>18</v>
      </c>
      <c r="E7" s="9">
        <v>18000.0</v>
      </c>
    </row>
    <row r="8">
      <c r="A8" s="4">
        <v>45339.0</v>
      </c>
      <c r="B8" s="5" t="s">
        <v>5</v>
      </c>
      <c r="C8" s="5" t="s">
        <v>12</v>
      </c>
      <c r="D8" s="5" t="s">
        <v>7</v>
      </c>
      <c r="E8" s="6">
        <v>78000.0</v>
      </c>
    </row>
    <row r="9">
      <c r="A9" s="7">
        <v>45344.0</v>
      </c>
      <c r="B9" s="8" t="s">
        <v>8</v>
      </c>
      <c r="C9" s="8" t="s">
        <v>15</v>
      </c>
      <c r="D9" s="8" t="s">
        <v>13</v>
      </c>
      <c r="E9" s="9">
        <v>35000.0</v>
      </c>
    </row>
    <row r="10">
      <c r="A10" s="4">
        <v>45355.0</v>
      </c>
      <c r="B10" s="5" t="s">
        <v>11</v>
      </c>
      <c r="C10" s="5" t="s">
        <v>6</v>
      </c>
      <c r="D10" s="5" t="s">
        <v>10</v>
      </c>
      <c r="E10" s="6">
        <v>52000.0</v>
      </c>
    </row>
    <row r="11">
      <c r="A11" s="7">
        <v>45362.0</v>
      </c>
      <c r="B11" s="8" t="s">
        <v>14</v>
      </c>
      <c r="C11" s="8" t="s">
        <v>9</v>
      </c>
      <c r="D11" s="8" t="s">
        <v>7</v>
      </c>
      <c r="E11" s="9">
        <v>96000.0</v>
      </c>
    </row>
    <row r="12">
      <c r="A12" s="4">
        <v>45370.0</v>
      </c>
      <c r="B12" s="5" t="s">
        <v>16</v>
      </c>
      <c r="C12" s="5" t="s">
        <v>12</v>
      </c>
      <c r="D12" s="5" t="s">
        <v>18</v>
      </c>
      <c r="E12" s="6">
        <v>22000.0</v>
      </c>
    </row>
    <row r="13">
      <c r="A13" s="7">
        <v>45377.0</v>
      </c>
      <c r="B13" s="8" t="s">
        <v>17</v>
      </c>
      <c r="C13" s="8" t="s">
        <v>15</v>
      </c>
      <c r="D13" s="8" t="s">
        <v>13</v>
      </c>
      <c r="E13" s="9">
        <v>41000.0</v>
      </c>
    </row>
    <row r="14">
      <c r="A14" s="4">
        <v>45384.0</v>
      </c>
      <c r="B14" s="5" t="s">
        <v>5</v>
      </c>
      <c r="C14" s="5" t="s">
        <v>9</v>
      </c>
      <c r="D14" s="5" t="s">
        <v>10</v>
      </c>
      <c r="E14" s="6">
        <v>38000.0</v>
      </c>
    </row>
    <row r="15">
      <c r="A15" s="7">
        <v>45391.0</v>
      </c>
      <c r="B15" s="8" t="s">
        <v>8</v>
      </c>
      <c r="C15" s="8" t="s">
        <v>6</v>
      </c>
      <c r="D15" s="8" t="s">
        <v>7</v>
      </c>
      <c r="E15" s="9">
        <v>88000.0</v>
      </c>
    </row>
    <row r="16">
      <c r="A16" s="4">
        <v>45397.0</v>
      </c>
      <c r="B16" s="5" t="s">
        <v>11</v>
      </c>
      <c r="C16" s="5" t="s">
        <v>15</v>
      </c>
      <c r="D16" s="5" t="s">
        <v>18</v>
      </c>
      <c r="E16" s="6">
        <v>25000.0</v>
      </c>
    </row>
    <row r="17">
      <c r="A17" s="7">
        <v>45405.0</v>
      </c>
      <c r="B17" s="8" t="s">
        <v>14</v>
      </c>
      <c r="C17" s="8" t="s">
        <v>12</v>
      </c>
      <c r="D17" s="8" t="s">
        <v>10</v>
      </c>
      <c r="E17" s="9">
        <v>47000.0</v>
      </c>
    </row>
    <row r="18">
      <c r="A18" s="10">
        <v>45418.0</v>
      </c>
      <c r="B18" s="5" t="s">
        <v>16</v>
      </c>
      <c r="C18" s="5" t="s">
        <v>9</v>
      </c>
      <c r="D18" s="5" t="s">
        <v>7</v>
      </c>
      <c r="E18" s="6">
        <v>74000.0</v>
      </c>
    </row>
    <row r="19">
      <c r="A19" s="11">
        <v>45425.0</v>
      </c>
      <c r="B19" s="8" t="s">
        <v>17</v>
      </c>
      <c r="C19" s="8" t="s">
        <v>6</v>
      </c>
      <c r="D19" s="8" t="s">
        <v>13</v>
      </c>
      <c r="E19" s="9">
        <v>33000.0</v>
      </c>
    </row>
    <row r="20">
      <c r="A20" s="10">
        <v>45432.0</v>
      </c>
      <c r="B20" s="5" t="s">
        <v>5</v>
      </c>
      <c r="C20" s="5" t="s">
        <v>15</v>
      </c>
      <c r="D20" s="5" t="s">
        <v>10</v>
      </c>
      <c r="E20" s="6">
        <v>56000.0</v>
      </c>
    </row>
    <row r="21">
      <c r="A21" s="11">
        <v>45439.0</v>
      </c>
      <c r="B21" s="8" t="s">
        <v>8</v>
      </c>
      <c r="C21" s="8" t="s">
        <v>12</v>
      </c>
      <c r="D21" s="8" t="s">
        <v>18</v>
      </c>
      <c r="E21" s="9">
        <v>19000.0</v>
      </c>
    </row>
    <row r="22">
      <c r="A22" s="4">
        <v>45446.0</v>
      </c>
      <c r="B22" s="5" t="s">
        <v>11</v>
      </c>
      <c r="C22" s="5" t="s">
        <v>9</v>
      </c>
      <c r="D22" s="5" t="s">
        <v>7</v>
      </c>
      <c r="E22" s="6">
        <v>82000.0</v>
      </c>
    </row>
    <row r="23">
      <c r="A23" s="7">
        <v>45453.0</v>
      </c>
      <c r="B23" s="8" t="s">
        <v>14</v>
      </c>
      <c r="C23" s="8" t="s">
        <v>6</v>
      </c>
      <c r="D23" s="8" t="s">
        <v>13</v>
      </c>
      <c r="E23" s="9">
        <v>44000.0</v>
      </c>
    </row>
    <row r="24">
      <c r="A24" s="4">
        <v>45461.0</v>
      </c>
      <c r="B24" s="5" t="s">
        <v>16</v>
      </c>
      <c r="C24" s="5" t="s">
        <v>15</v>
      </c>
      <c r="D24" s="5" t="s">
        <v>10</v>
      </c>
      <c r="E24" s="6">
        <v>61000.0</v>
      </c>
    </row>
    <row r="25">
      <c r="A25" s="7">
        <v>45468.0</v>
      </c>
      <c r="B25" s="8" t="s">
        <v>17</v>
      </c>
      <c r="C25" s="8" t="s">
        <v>12</v>
      </c>
      <c r="D25" s="8" t="s">
        <v>7</v>
      </c>
      <c r="E25" s="9">
        <v>91000.0</v>
      </c>
    </row>
    <row r="26">
      <c r="A26" s="4">
        <v>45475.0</v>
      </c>
      <c r="B26" s="5" t="s">
        <v>5</v>
      </c>
      <c r="C26" s="5" t="s">
        <v>6</v>
      </c>
      <c r="D26" s="5" t="s">
        <v>18</v>
      </c>
      <c r="E26" s="6">
        <v>27000.0</v>
      </c>
    </row>
    <row r="27">
      <c r="A27" s="7">
        <v>45482.0</v>
      </c>
      <c r="B27" s="8" t="s">
        <v>8</v>
      </c>
      <c r="C27" s="8" t="s">
        <v>9</v>
      </c>
      <c r="D27" s="8" t="s">
        <v>7</v>
      </c>
      <c r="E27" s="9">
        <v>95000.0</v>
      </c>
    </row>
    <row r="28">
      <c r="A28" s="4">
        <v>45489.0</v>
      </c>
      <c r="B28" s="5" t="s">
        <v>11</v>
      </c>
      <c r="C28" s="5" t="s">
        <v>12</v>
      </c>
      <c r="D28" s="5" t="s">
        <v>10</v>
      </c>
      <c r="E28" s="6">
        <v>43000.0</v>
      </c>
    </row>
    <row r="29">
      <c r="A29" s="7">
        <v>45496.0</v>
      </c>
      <c r="B29" s="8" t="s">
        <v>14</v>
      </c>
      <c r="C29" s="8" t="s">
        <v>15</v>
      </c>
      <c r="D29" s="8" t="s">
        <v>13</v>
      </c>
      <c r="E29" s="9">
        <v>38000.0</v>
      </c>
    </row>
    <row r="30">
      <c r="A30" s="4">
        <v>45509.0</v>
      </c>
      <c r="B30" s="5" t="s">
        <v>16</v>
      </c>
      <c r="C30" s="5" t="s">
        <v>6</v>
      </c>
      <c r="D30" s="5" t="s">
        <v>7</v>
      </c>
      <c r="E30" s="6">
        <v>87000.0</v>
      </c>
    </row>
    <row r="31">
      <c r="A31" s="7">
        <v>45516.0</v>
      </c>
      <c r="B31" s="8" t="s">
        <v>17</v>
      </c>
      <c r="C31" s="8" t="s">
        <v>9</v>
      </c>
      <c r="D31" s="8" t="s">
        <v>10</v>
      </c>
      <c r="E31" s="9">
        <v>49000.0</v>
      </c>
    </row>
    <row r="32">
      <c r="A32" s="4">
        <v>45523.0</v>
      </c>
      <c r="B32" s="5" t="s">
        <v>5</v>
      </c>
      <c r="C32" s="5" t="s">
        <v>12</v>
      </c>
      <c r="D32" s="5" t="s">
        <v>13</v>
      </c>
      <c r="E32" s="6">
        <v>36000.0</v>
      </c>
    </row>
    <row r="33">
      <c r="A33" s="7">
        <v>45530.0</v>
      </c>
      <c r="B33" s="8" t="s">
        <v>8</v>
      </c>
      <c r="C33" s="8" t="s">
        <v>15</v>
      </c>
      <c r="D33" s="8" t="s">
        <v>7</v>
      </c>
      <c r="E33" s="9">
        <v>93000.0</v>
      </c>
    </row>
    <row r="34">
      <c r="A34" s="4">
        <v>45538.0</v>
      </c>
      <c r="B34" s="5" t="s">
        <v>11</v>
      </c>
      <c r="C34" s="5" t="s">
        <v>6</v>
      </c>
      <c r="D34" s="5" t="s">
        <v>18</v>
      </c>
      <c r="E34" s="6">
        <v>31000.0</v>
      </c>
    </row>
    <row r="35">
      <c r="A35" s="7">
        <v>45545.0</v>
      </c>
      <c r="B35" s="8" t="s">
        <v>14</v>
      </c>
      <c r="C35" s="8" t="s">
        <v>9</v>
      </c>
      <c r="D35" s="8" t="s">
        <v>10</v>
      </c>
      <c r="E35" s="9">
        <v>55000.0</v>
      </c>
    </row>
    <row r="36">
      <c r="A36" s="4">
        <v>45552.0</v>
      </c>
      <c r="B36" s="5" t="s">
        <v>16</v>
      </c>
      <c r="C36" s="5" t="s">
        <v>12</v>
      </c>
      <c r="D36" s="5" t="s">
        <v>7</v>
      </c>
      <c r="E36" s="6">
        <v>79000.0</v>
      </c>
    </row>
    <row r="37">
      <c r="A37" s="7">
        <v>45559.0</v>
      </c>
      <c r="B37" s="8" t="s">
        <v>17</v>
      </c>
      <c r="C37" s="8" t="s">
        <v>15</v>
      </c>
      <c r="D37" s="8" t="s">
        <v>13</v>
      </c>
      <c r="E37" s="9">
        <v>42000.0</v>
      </c>
    </row>
    <row r="38">
      <c r="A38" s="4">
        <v>45566.0</v>
      </c>
      <c r="B38" s="5" t="s">
        <v>5</v>
      </c>
      <c r="C38" s="5" t="s">
        <v>9</v>
      </c>
      <c r="D38" s="5" t="s">
        <v>7</v>
      </c>
      <c r="E38" s="6">
        <v>98000.0</v>
      </c>
    </row>
    <row r="39">
      <c r="A39" s="7">
        <v>45573.0</v>
      </c>
      <c r="B39" s="8" t="s">
        <v>8</v>
      </c>
      <c r="C39" s="8" t="s">
        <v>6</v>
      </c>
      <c r="D39" s="8" t="s">
        <v>10</v>
      </c>
      <c r="E39" s="9">
        <v>53000.0</v>
      </c>
    </row>
    <row r="40">
      <c r="A40" s="4">
        <v>45580.0</v>
      </c>
      <c r="B40" s="5" t="s">
        <v>11</v>
      </c>
      <c r="C40" s="5" t="s">
        <v>15</v>
      </c>
      <c r="D40" s="5" t="s">
        <v>18</v>
      </c>
      <c r="E40" s="6">
        <v>23000.0</v>
      </c>
    </row>
    <row r="41">
      <c r="A41" s="7">
        <v>45587.0</v>
      </c>
      <c r="B41" s="8" t="s">
        <v>14</v>
      </c>
      <c r="C41" s="8" t="s">
        <v>12</v>
      </c>
      <c r="D41" s="8" t="s">
        <v>7</v>
      </c>
      <c r="E41" s="9">
        <v>86000.0</v>
      </c>
    </row>
    <row r="42">
      <c r="A42" s="4">
        <v>45601.0</v>
      </c>
      <c r="B42" s="5" t="s">
        <v>16</v>
      </c>
      <c r="C42" s="5" t="s">
        <v>9</v>
      </c>
      <c r="D42" s="5" t="s">
        <v>13</v>
      </c>
      <c r="E42" s="6">
        <v>39000.0</v>
      </c>
    </row>
    <row r="43">
      <c r="A43" s="7">
        <v>45608.0</v>
      </c>
      <c r="B43" s="8" t="s">
        <v>17</v>
      </c>
      <c r="C43" s="8" t="s">
        <v>6</v>
      </c>
      <c r="D43" s="8" t="s">
        <v>7</v>
      </c>
      <c r="E43" s="9">
        <v>94000.0</v>
      </c>
    </row>
    <row r="44">
      <c r="A44" s="4">
        <v>45615.0</v>
      </c>
      <c r="B44" s="5" t="s">
        <v>5</v>
      </c>
      <c r="C44" s="5" t="s">
        <v>12</v>
      </c>
      <c r="D44" s="5" t="s">
        <v>10</v>
      </c>
      <c r="E44" s="6">
        <v>64000.0</v>
      </c>
    </row>
    <row r="45">
      <c r="A45" s="7">
        <v>45622.0</v>
      </c>
      <c r="B45" s="8" t="s">
        <v>8</v>
      </c>
      <c r="C45" s="8" t="s">
        <v>15</v>
      </c>
      <c r="D45" s="8" t="s">
        <v>13</v>
      </c>
      <c r="E45" s="9">
        <v>46000.0</v>
      </c>
    </row>
    <row r="46">
      <c r="A46" s="4">
        <v>45629.0</v>
      </c>
      <c r="B46" s="5" t="s">
        <v>11</v>
      </c>
      <c r="C46" s="5" t="s">
        <v>9</v>
      </c>
      <c r="D46" s="5" t="s">
        <v>7</v>
      </c>
      <c r="E46" s="6">
        <v>89000.0</v>
      </c>
    </row>
    <row r="47">
      <c r="A47" s="7">
        <v>45636.0</v>
      </c>
      <c r="B47" s="8" t="s">
        <v>14</v>
      </c>
      <c r="C47" s="8" t="s">
        <v>6</v>
      </c>
      <c r="D47" s="8" t="s">
        <v>10</v>
      </c>
      <c r="E47" s="9">
        <v>58000.0</v>
      </c>
    </row>
    <row r="48">
      <c r="A48" s="4">
        <v>45643.0</v>
      </c>
      <c r="B48" s="5" t="s">
        <v>16</v>
      </c>
      <c r="C48" s="5" t="s">
        <v>15</v>
      </c>
      <c r="D48" s="5" t="s">
        <v>18</v>
      </c>
      <c r="E48" s="6">
        <v>29000.0</v>
      </c>
    </row>
    <row r="49">
      <c r="A49" s="7">
        <v>45650.0</v>
      </c>
      <c r="B49" s="8" t="s">
        <v>17</v>
      </c>
      <c r="C49" s="8" t="s">
        <v>12</v>
      </c>
      <c r="D49" s="8" t="s">
        <v>7</v>
      </c>
      <c r="E49" s="9">
        <v>97000.0</v>
      </c>
    </row>
  </sheetData>
  <printOptions gridLines="1" horizontalCentered="1"/>
  <pageMargins bottom="0.75" footer="0.0" header="0.0" left="0.25" right="0.25" top="0.75"/>
  <pageSetup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3" max="3" width="19.0"/>
  </cols>
  <sheetData>
    <row r="1">
      <c r="A1" s="12" t="s">
        <v>19</v>
      </c>
      <c r="B1" s="13"/>
      <c r="C1" s="13"/>
      <c r="D1" s="13"/>
      <c r="E1" s="13"/>
      <c r="F1" s="13"/>
      <c r="G1" s="13"/>
      <c r="H1" s="13"/>
      <c r="I1" s="13"/>
      <c r="J1" s="13"/>
      <c r="K1" s="13"/>
      <c r="L1" s="13"/>
      <c r="M1" s="13"/>
      <c r="N1" s="13"/>
      <c r="O1" s="13"/>
      <c r="P1" s="13"/>
      <c r="Q1" s="13"/>
      <c r="R1" s="13"/>
      <c r="S1" s="13"/>
      <c r="T1" s="13"/>
      <c r="U1" s="13"/>
      <c r="V1" s="14"/>
    </row>
    <row r="2">
      <c r="A2" s="15"/>
      <c r="V2" s="16"/>
    </row>
    <row r="3">
      <c r="A3" s="15"/>
      <c r="V3" s="16"/>
    </row>
    <row r="4">
      <c r="A4" s="15"/>
      <c r="V4" s="16"/>
    </row>
    <row r="5">
      <c r="A5" s="15"/>
      <c r="G5" s="17" t="s">
        <v>20</v>
      </c>
      <c r="H5" s="17"/>
      <c r="I5" s="17"/>
      <c r="J5" s="17"/>
      <c r="K5" s="17"/>
      <c r="L5" s="17"/>
      <c r="M5" s="17"/>
      <c r="N5" s="17"/>
      <c r="V5" s="16"/>
    </row>
    <row r="6">
      <c r="A6" s="15"/>
      <c r="G6" s="17"/>
      <c r="H6" s="17"/>
      <c r="I6" s="17"/>
      <c r="J6" s="17"/>
      <c r="K6" s="17"/>
      <c r="L6" s="17"/>
      <c r="M6" s="17"/>
      <c r="N6" s="17"/>
      <c r="V6" s="16"/>
    </row>
    <row r="7">
      <c r="A7" s="15"/>
      <c r="V7" s="16"/>
    </row>
    <row r="8">
      <c r="A8" s="15"/>
      <c r="V8" s="16"/>
    </row>
    <row r="9">
      <c r="A9" s="15"/>
      <c r="V9" s="16"/>
    </row>
    <row r="10">
      <c r="A10" s="15"/>
      <c r="V10" s="16"/>
    </row>
    <row r="11">
      <c r="A11" s="15"/>
      <c r="V11" s="16"/>
    </row>
    <row r="12">
      <c r="A12" s="15"/>
      <c r="V12" s="16"/>
    </row>
    <row r="13">
      <c r="A13" s="15"/>
      <c r="V13" s="16"/>
    </row>
    <row r="14">
      <c r="A14" s="15"/>
      <c r="V14" s="16"/>
    </row>
    <row r="15">
      <c r="A15" s="15"/>
      <c r="V15" s="16"/>
    </row>
    <row r="16">
      <c r="A16" s="15"/>
      <c r="V16" s="16"/>
    </row>
    <row r="17">
      <c r="A17" s="15"/>
      <c r="V17" s="16"/>
    </row>
    <row r="18">
      <c r="A18" s="15"/>
      <c r="V18" s="16"/>
    </row>
    <row r="19">
      <c r="A19" s="15"/>
      <c r="V19" s="16"/>
    </row>
    <row r="20">
      <c r="A20" s="15"/>
      <c r="V20" s="16"/>
    </row>
    <row r="21">
      <c r="A21" s="15"/>
      <c r="V21" s="16"/>
    </row>
    <row r="22">
      <c r="A22" s="15"/>
      <c r="V22" s="16"/>
    </row>
    <row r="23">
      <c r="A23" s="15"/>
      <c r="V23" s="16"/>
    </row>
    <row r="24">
      <c r="A24" s="15"/>
      <c r="V24" s="16"/>
    </row>
    <row r="25">
      <c r="A25" s="15"/>
      <c r="V25" s="16"/>
    </row>
    <row r="26">
      <c r="A26" s="15"/>
      <c r="V26" s="16"/>
    </row>
    <row r="27">
      <c r="A27" s="15"/>
      <c r="V27" s="16"/>
    </row>
    <row r="28">
      <c r="A28" s="15"/>
      <c r="V28" s="16"/>
    </row>
    <row r="29">
      <c r="A29" s="15"/>
      <c r="V29" s="16"/>
    </row>
    <row r="30">
      <c r="A30" s="15"/>
      <c r="V30" s="16"/>
    </row>
    <row r="31">
      <c r="A31" s="15"/>
      <c r="E31" s="20"/>
      <c r="H31" s="20" t="s">
        <v>22</v>
      </c>
      <c r="I31" s="20"/>
      <c r="J31" s="20"/>
      <c r="K31" s="20"/>
      <c r="L31" s="20"/>
      <c r="M31" s="20"/>
      <c r="N31" s="20"/>
      <c r="O31" s="20"/>
      <c r="V31" s="16"/>
    </row>
    <row r="32">
      <c r="A32" s="15"/>
      <c r="G32" s="20"/>
      <c r="H32" s="20"/>
      <c r="I32" s="20"/>
      <c r="J32" s="20"/>
      <c r="K32" s="20"/>
      <c r="L32" s="20"/>
      <c r="M32" s="20"/>
      <c r="N32" s="20"/>
      <c r="O32" s="20"/>
      <c r="P32" s="20"/>
      <c r="V32" s="16"/>
    </row>
    <row r="33">
      <c r="A33" s="15"/>
      <c r="V33" s="16"/>
    </row>
    <row r="34">
      <c r="A34" s="15"/>
      <c r="F34" s="20"/>
      <c r="G34" s="20"/>
      <c r="H34" s="20"/>
      <c r="I34" s="20"/>
      <c r="J34" s="20"/>
      <c r="K34" s="20"/>
      <c r="L34" s="20"/>
      <c r="M34" s="20"/>
      <c r="N34" s="20"/>
      <c r="O34" s="20"/>
      <c r="P34" s="20"/>
      <c r="V34" s="16"/>
    </row>
    <row r="35">
      <c r="A35" s="15"/>
      <c r="F35" s="20"/>
      <c r="G35" s="20"/>
      <c r="H35" s="20"/>
      <c r="I35" s="20"/>
      <c r="J35" s="20"/>
      <c r="K35" s="20"/>
      <c r="L35" s="20"/>
      <c r="M35" s="20"/>
      <c r="N35" s="20"/>
      <c r="O35" s="20"/>
      <c r="P35" s="20"/>
      <c r="V35" s="16"/>
    </row>
    <row r="36">
      <c r="A36" s="15"/>
      <c r="V36" s="16"/>
    </row>
    <row r="37">
      <c r="A37" s="15"/>
      <c r="V37" s="16"/>
    </row>
    <row r="38">
      <c r="A38" s="15"/>
      <c r="V38" s="16"/>
    </row>
    <row r="39">
      <c r="A39" s="15"/>
      <c r="V39" s="16"/>
    </row>
    <row r="40">
      <c r="A40" s="15"/>
      <c r="V40" s="16"/>
    </row>
    <row r="41">
      <c r="A41" s="15"/>
      <c r="V41" s="16"/>
    </row>
    <row r="42">
      <c r="A42" s="15"/>
      <c r="V42" s="16"/>
    </row>
    <row r="43">
      <c r="A43" s="15"/>
      <c r="V43" s="16"/>
    </row>
    <row r="44">
      <c r="A44" s="15"/>
      <c r="V44" s="16"/>
    </row>
    <row r="45">
      <c r="A45" s="15"/>
      <c r="V45" s="16"/>
    </row>
    <row r="46">
      <c r="A46" s="15"/>
      <c r="V46" s="16"/>
    </row>
    <row r="47">
      <c r="A47" s="15"/>
      <c r="V47" s="16"/>
    </row>
    <row r="48">
      <c r="A48" s="15"/>
      <c r="V48" s="16"/>
    </row>
    <row r="49">
      <c r="A49" s="15"/>
      <c r="V49" s="16"/>
    </row>
    <row r="50">
      <c r="A50" s="15"/>
      <c r="V50" s="16"/>
    </row>
    <row r="51">
      <c r="A51" s="15"/>
      <c r="V51" s="16"/>
    </row>
    <row r="52">
      <c r="A52" s="15"/>
      <c r="V52" s="16"/>
    </row>
    <row r="53">
      <c r="A53" s="15"/>
      <c r="V53" s="16"/>
    </row>
    <row r="54">
      <c r="A54" s="15"/>
      <c r="V54" s="16"/>
    </row>
    <row r="55">
      <c r="A55" s="15"/>
      <c r="V55" s="16"/>
    </row>
    <row r="56">
      <c r="A56" s="15"/>
      <c r="V56" s="16"/>
    </row>
    <row r="57">
      <c r="A57" s="15"/>
      <c r="V57" s="16"/>
    </row>
    <row r="58">
      <c r="A58" s="15"/>
      <c r="V58" s="16"/>
    </row>
    <row r="59">
      <c r="A59" s="15"/>
      <c r="H59" s="20" t="s">
        <v>23</v>
      </c>
      <c r="I59" s="20"/>
      <c r="J59" s="20"/>
      <c r="K59" s="20"/>
      <c r="L59" s="20"/>
      <c r="M59" s="20"/>
      <c r="N59" s="20"/>
      <c r="O59" s="20"/>
      <c r="V59" s="16"/>
    </row>
    <row r="60">
      <c r="A60" s="15"/>
      <c r="F60" s="20"/>
      <c r="G60" s="20"/>
      <c r="H60" s="20"/>
      <c r="I60" s="20"/>
      <c r="J60" s="20"/>
      <c r="K60" s="20"/>
      <c r="L60" s="20"/>
      <c r="M60" s="20"/>
      <c r="N60" s="20"/>
      <c r="O60" s="20"/>
      <c r="P60" s="20"/>
      <c r="V60" s="16"/>
    </row>
    <row r="61">
      <c r="A61" s="15"/>
      <c r="V61" s="16"/>
    </row>
    <row r="62">
      <c r="A62" s="15"/>
      <c r="V62" s="16"/>
    </row>
    <row r="63">
      <c r="A63" s="15"/>
      <c r="V63" s="16"/>
    </row>
    <row r="64">
      <c r="A64" s="15"/>
      <c r="V64" s="16"/>
    </row>
    <row r="65">
      <c r="A65" s="15"/>
      <c r="V65" s="16"/>
    </row>
    <row r="66">
      <c r="A66" s="15"/>
      <c r="V66" s="16"/>
    </row>
    <row r="67">
      <c r="A67" s="15"/>
      <c r="V67" s="16"/>
    </row>
    <row r="68">
      <c r="A68" s="15"/>
      <c r="V68" s="16"/>
    </row>
    <row r="69">
      <c r="A69" s="15"/>
      <c r="V69" s="16"/>
    </row>
    <row r="70">
      <c r="A70" s="15"/>
      <c r="V70" s="16"/>
    </row>
    <row r="71">
      <c r="A71" s="15"/>
      <c r="V71" s="16"/>
    </row>
    <row r="72">
      <c r="A72" s="15"/>
      <c r="V72" s="16"/>
    </row>
    <row r="73">
      <c r="A73" s="15"/>
      <c r="V73" s="16"/>
    </row>
    <row r="74">
      <c r="A74" s="15"/>
      <c r="V74" s="16"/>
    </row>
    <row r="75">
      <c r="A75" s="15"/>
      <c r="V75" s="16"/>
    </row>
    <row r="76">
      <c r="A76" s="15"/>
      <c r="V76" s="16"/>
      <c r="AB76" s="22"/>
    </row>
    <row r="77">
      <c r="A77" s="15"/>
      <c r="V77" s="16"/>
    </row>
    <row r="78">
      <c r="A78" s="15"/>
      <c r="V78" s="16"/>
    </row>
    <row r="79">
      <c r="A79" s="15"/>
      <c r="V79" s="16"/>
    </row>
    <row r="80">
      <c r="A80" s="15"/>
      <c r="V80" s="16"/>
    </row>
    <row r="81">
      <c r="A81" s="15"/>
      <c r="V81" s="16"/>
    </row>
    <row r="82">
      <c r="A82" s="15"/>
      <c r="V82" s="16"/>
    </row>
    <row r="83">
      <c r="A83" s="15"/>
      <c r="V83" s="16"/>
    </row>
    <row r="84">
      <c r="A84" s="15"/>
      <c r="V84" s="16"/>
    </row>
    <row r="85">
      <c r="A85" s="15"/>
      <c r="V85" s="16"/>
    </row>
    <row r="86">
      <c r="A86" s="15"/>
      <c r="V86" s="16"/>
    </row>
    <row r="87">
      <c r="A87" s="15"/>
      <c r="V87" s="16"/>
    </row>
    <row r="88">
      <c r="A88" s="15"/>
      <c r="V88" s="16"/>
    </row>
    <row r="89">
      <c r="A89" s="15"/>
      <c r="V89" s="16"/>
    </row>
    <row r="90">
      <c r="A90" s="15"/>
      <c r="V90" s="16"/>
    </row>
    <row r="91">
      <c r="A91" s="23"/>
      <c r="B91" s="24"/>
      <c r="C91" s="24"/>
      <c r="D91" s="24"/>
      <c r="E91" s="24"/>
      <c r="F91" s="24"/>
      <c r="G91" s="24"/>
      <c r="H91" s="24"/>
      <c r="I91" s="24"/>
      <c r="J91" s="24"/>
      <c r="K91" s="24"/>
      <c r="L91" s="24"/>
      <c r="M91" s="24"/>
      <c r="N91" s="24"/>
      <c r="O91" s="24"/>
      <c r="P91" s="24"/>
      <c r="Q91" s="24"/>
      <c r="R91" s="24"/>
      <c r="S91" s="24"/>
      <c r="T91" s="24"/>
      <c r="U91" s="24"/>
      <c r="V91" s="25"/>
    </row>
  </sheetData>
  <customSheetViews>
    <customSheetView guid="{D2A7E6AE-A196-4054-A67E-340C2CDAE271}" filter="1" showAutoFilter="1">
      <autoFilter ref="$B$66:$C$78"/>
    </customSheetView>
    <customSheetView guid="{D2A7E6AE-A196-4054-A67E-340C2CDAE271}" filter="1" showAutoFilter="1">
      <autoFilter ref="$B$15:$C$20"/>
    </customSheetView>
    <customSheetView guid="{D2A7E6AE-A196-4054-A67E-340C2CDAE271}" filter="1" showAutoFilter="1">
      <autoFilter ref="$B$35:$C$41"/>
    </customSheetView>
  </customSheetViews>
  <mergeCells count="1">
    <mergeCell ref="A1:V1"/>
  </mergeCells>
  <printOptions gridLines="1" horizontalCentered="1" verticalCentered="1"/>
  <pageMargins bottom="0.75" footer="0.0" header="0.0" left="0.25" right="0.25" top="0.75"/>
  <pageSetup fitToWidth="0" paperSize="9" cellComments="atEnd" orientation="landscape"/>
  <drawing r:id="rId4"/>
  <tableParts count="3">
    <tablePart r:id="rId8"/>
    <tablePart r:id="rId9"/>
    <tablePart r:id="rId10"/>
  </tableParts>
  <extLst>
    <ext uri="{3A4CF648-6AED-40f4-86FF-DC5316D8AED3}">
      <x14:slicerList>
        <x14:slicer r:id="rId11"/>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9.5"/>
    <col customWidth="1" min="6" max="6" width="10.25"/>
    <col customWidth="1" min="7" max="7" width="13.25"/>
    <col customWidth="1" min="8" max="8" width="14.38"/>
  </cols>
  <sheetData>
    <row r="1">
      <c r="A1" s="26" t="s">
        <v>37</v>
      </c>
    </row>
    <row r="2">
      <c r="A2" s="27" t="s">
        <v>38</v>
      </c>
      <c r="B2" s="27" t="s">
        <v>39</v>
      </c>
      <c r="C2" s="27" t="s">
        <v>40</v>
      </c>
      <c r="D2" s="27" t="s">
        <v>41</v>
      </c>
      <c r="E2" s="27" t="s">
        <v>42</v>
      </c>
      <c r="F2" s="27" t="s">
        <v>43</v>
      </c>
      <c r="G2" s="27" t="s">
        <v>44</v>
      </c>
      <c r="H2" s="27" t="s">
        <v>45</v>
      </c>
      <c r="J2" s="28" t="s">
        <v>46</v>
      </c>
      <c r="K2" s="28" t="s">
        <v>47</v>
      </c>
    </row>
    <row r="3">
      <c r="A3" s="29" t="s">
        <v>48</v>
      </c>
      <c r="B3" s="29" t="s">
        <v>49</v>
      </c>
      <c r="C3" s="29" t="s">
        <v>7</v>
      </c>
      <c r="D3" s="29">
        <v>2.0</v>
      </c>
      <c r="E3" s="29">
        <v>45000.0</v>
      </c>
      <c r="F3" s="30">
        <f t="shared" ref="F3:F27" si="1">D3*E3</f>
        <v>90000</v>
      </c>
      <c r="G3" s="29" t="s">
        <v>50</v>
      </c>
      <c r="H3" s="29" t="s">
        <v>51</v>
      </c>
      <c r="J3" s="31" t="s">
        <v>50</v>
      </c>
      <c r="K3" s="18">
        <f>COUNTIF(G:G,"Pending")</f>
        <v>8</v>
      </c>
    </row>
    <row r="4">
      <c r="A4" s="32" t="s">
        <v>52</v>
      </c>
      <c r="B4" s="32" t="s">
        <v>53</v>
      </c>
      <c r="C4" s="32" t="s">
        <v>54</v>
      </c>
      <c r="D4" s="32">
        <v>5.0</v>
      </c>
      <c r="E4" s="32">
        <v>22000.0</v>
      </c>
      <c r="F4" s="33">
        <f t="shared" si="1"/>
        <v>110000</v>
      </c>
      <c r="G4" s="32" t="s">
        <v>55</v>
      </c>
      <c r="H4" s="32" t="s">
        <v>56</v>
      </c>
      <c r="J4" s="31" t="s">
        <v>57</v>
      </c>
      <c r="K4" s="18">
        <f>COUNTIF(G:G,"Shipped")</f>
        <v>6</v>
      </c>
    </row>
    <row r="5">
      <c r="A5" s="29" t="s">
        <v>58</v>
      </c>
      <c r="B5" s="29" t="s">
        <v>59</v>
      </c>
      <c r="C5" s="29" t="s">
        <v>13</v>
      </c>
      <c r="D5" s="29">
        <v>3.0</v>
      </c>
      <c r="E5" s="29">
        <v>18000.0</v>
      </c>
      <c r="F5" s="30">
        <f t="shared" si="1"/>
        <v>54000</v>
      </c>
      <c r="G5" s="29" t="s">
        <v>57</v>
      </c>
      <c r="H5" s="29" t="s">
        <v>60</v>
      </c>
      <c r="J5" s="31" t="s">
        <v>55</v>
      </c>
      <c r="K5" s="18">
        <f>COUNTIF(G:G,"Delivered")</f>
        <v>8</v>
      </c>
    </row>
    <row r="6">
      <c r="A6" s="32" t="s">
        <v>61</v>
      </c>
      <c r="B6" s="32" t="s">
        <v>62</v>
      </c>
      <c r="C6" s="32" t="s">
        <v>63</v>
      </c>
      <c r="D6" s="32">
        <v>1.0</v>
      </c>
      <c r="E6" s="32">
        <v>15000.0</v>
      </c>
      <c r="F6" s="33">
        <f t="shared" si="1"/>
        <v>15000</v>
      </c>
      <c r="G6" s="32" t="s">
        <v>50</v>
      </c>
      <c r="H6" s="34">
        <v>46059.0</v>
      </c>
      <c r="J6" s="31" t="s">
        <v>64</v>
      </c>
      <c r="K6" s="18">
        <f>COUNTIF(G:G,"Cancelled")</f>
        <v>3</v>
      </c>
    </row>
    <row r="7">
      <c r="A7" s="29" t="s">
        <v>65</v>
      </c>
      <c r="B7" s="29" t="s">
        <v>66</v>
      </c>
      <c r="C7" s="29" t="s">
        <v>67</v>
      </c>
      <c r="D7" s="29">
        <v>10.0</v>
      </c>
      <c r="E7" s="29">
        <v>2500.0</v>
      </c>
      <c r="F7" s="30">
        <f t="shared" si="1"/>
        <v>25000</v>
      </c>
      <c r="G7" s="29" t="s">
        <v>55</v>
      </c>
      <c r="H7" s="35">
        <v>46028.0</v>
      </c>
    </row>
    <row r="8">
      <c r="A8" s="32" t="s">
        <v>68</v>
      </c>
      <c r="B8" s="32" t="s">
        <v>69</v>
      </c>
      <c r="C8" s="32" t="s">
        <v>70</v>
      </c>
      <c r="D8" s="32">
        <v>12.0</v>
      </c>
      <c r="E8" s="32">
        <v>1200.0</v>
      </c>
      <c r="F8" s="33">
        <f t="shared" si="1"/>
        <v>14400</v>
      </c>
      <c r="G8" s="32" t="s">
        <v>64</v>
      </c>
      <c r="H8" s="34">
        <v>46087.0</v>
      </c>
    </row>
    <row r="9">
      <c r="A9" s="29" t="s">
        <v>71</v>
      </c>
      <c r="B9" s="29" t="s">
        <v>72</v>
      </c>
      <c r="C9" s="29" t="s">
        <v>73</v>
      </c>
      <c r="D9" s="29">
        <v>2.0</v>
      </c>
      <c r="E9" s="29">
        <v>14000.0</v>
      </c>
      <c r="F9" s="30">
        <f t="shared" si="1"/>
        <v>28000</v>
      </c>
      <c r="G9" s="29" t="s">
        <v>57</v>
      </c>
      <c r="H9" s="35">
        <v>46148.0</v>
      </c>
    </row>
    <row r="10">
      <c r="A10" s="32" t="s">
        <v>74</v>
      </c>
      <c r="B10" s="32" t="s">
        <v>75</v>
      </c>
      <c r="C10" s="32" t="s">
        <v>7</v>
      </c>
      <c r="D10" s="32">
        <v>1.0</v>
      </c>
      <c r="E10" s="32">
        <v>55000.0</v>
      </c>
      <c r="F10" s="33">
        <f t="shared" si="1"/>
        <v>55000</v>
      </c>
      <c r="G10" s="32" t="s">
        <v>55</v>
      </c>
      <c r="H10" s="34">
        <v>46209.0</v>
      </c>
    </row>
    <row r="11">
      <c r="A11" s="29" t="s">
        <v>76</v>
      </c>
      <c r="B11" s="29" t="s">
        <v>77</v>
      </c>
      <c r="C11" s="29" t="s">
        <v>54</v>
      </c>
      <c r="D11" s="29">
        <v>4.0</v>
      </c>
      <c r="E11" s="29">
        <v>25000.0</v>
      </c>
      <c r="F11" s="30">
        <f t="shared" si="1"/>
        <v>100000</v>
      </c>
      <c r="G11" s="29" t="s">
        <v>50</v>
      </c>
      <c r="H11" s="35">
        <v>46271.0</v>
      </c>
    </row>
    <row r="12">
      <c r="A12" s="32" t="s">
        <v>78</v>
      </c>
      <c r="B12" s="32" t="s">
        <v>79</v>
      </c>
      <c r="C12" s="32" t="s">
        <v>13</v>
      </c>
      <c r="D12" s="32">
        <v>6.0</v>
      </c>
      <c r="E12" s="32">
        <v>17000.0</v>
      </c>
      <c r="F12" s="33">
        <f t="shared" si="1"/>
        <v>102000</v>
      </c>
      <c r="G12" s="32" t="s">
        <v>57</v>
      </c>
      <c r="H12" s="34">
        <v>46301.0</v>
      </c>
    </row>
    <row r="13">
      <c r="A13" s="29" t="s">
        <v>80</v>
      </c>
      <c r="B13" s="29" t="s">
        <v>81</v>
      </c>
      <c r="C13" s="29" t="s">
        <v>63</v>
      </c>
      <c r="D13" s="29">
        <v>2.0</v>
      </c>
      <c r="E13" s="29">
        <v>16000.0</v>
      </c>
      <c r="F13" s="30">
        <f t="shared" si="1"/>
        <v>32000</v>
      </c>
      <c r="G13" s="29" t="s">
        <v>55</v>
      </c>
      <c r="H13" s="35">
        <v>46362.0</v>
      </c>
    </row>
    <row r="14">
      <c r="A14" s="32" t="s">
        <v>82</v>
      </c>
      <c r="B14" s="32" t="s">
        <v>83</v>
      </c>
      <c r="C14" s="32" t="s">
        <v>70</v>
      </c>
      <c r="D14" s="32">
        <v>20.0</v>
      </c>
      <c r="E14" s="32">
        <v>1000.0</v>
      </c>
      <c r="F14" s="33">
        <f t="shared" si="1"/>
        <v>20000</v>
      </c>
      <c r="G14" s="32" t="s">
        <v>50</v>
      </c>
      <c r="H14" s="32" t="s">
        <v>84</v>
      </c>
    </row>
    <row r="15">
      <c r="A15" s="29" t="s">
        <v>85</v>
      </c>
      <c r="B15" s="29" t="s">
        <v>86</v>
      </c>
      <c r="C15" s="29" t="s">
        <v>67</v>
      </c>
      <c r="D15" s="29">
        <v>15.0</v>
      </c>
      <c r="E15" s="29">
        <v>2200.0</v>
      </c>
      <c r="F15" s="30">
        <f t="shared" si="1"/>
        <v>33000</v>
      </c>
      <c r="G15" s="29" t="s">
        <v>64</v>
      </c>
      <c r="H15" s="29" t="s">
        <v>87</v>
      </c>
    </row>
    <row r="16">
      <c r="A16" s="32" t="s">
        <v>88</v>
      </c>
      <c r="B16" s="32" t="s">
        <v>89</v>
      </c>
      <c r="C16" s="32" t="s">
        <v>73</v>
      </c>
      <c r="D16" s="32">
        <v>3.0</v>
      </c>
      <c r="E16" s="32">
        <v>13500.0</v>
      </c>
      <c r="F16" s="33">
        <f t="shared" si="1"/>
        <v>40500</v>
      </c>
      <c r="G16" s="32" t="s">
        <v>57</v>
      </c>
      <c r="H16" s="32" t="s">
        <v>90</v>
      </c>
    </row>
    <row r="17">
      <c r="A17" s="29" t="s">
        <v>91</v>
      </c>
      <c r="B17" s="29" t="s">
        <v>92</v>
      </c>
      <c r="C17" s="29" t="s">
        <v>7</v>
      </c>
      <c r="D17" s="29">
        <v>2.0</v>
      </c>
      <c r="E17" s="29">
        <v>60000.0</v>
      </c>
      <c r="F17" s="30">
        <f t="shared" si="1"/>
        <v>120000</v>
      </c>
      <c r="G17" s="29" t="s">
        <v>55</v>
      </c>
      <c r="H17" s="29" t="s">
        <v>93</v>
      </c>
    </row>
    <row r="18">
      <c r="A18" s="32" t="s">
        <v>94</v>
      </c>
      <c r="B18" s="32" t="s">
        <v>95</v>
      </c>
      <c r="C18" s="32" t="s">
        <v>54</v>
      </c>
      <c r="D18" s="32">
        <v>7.0</v>
      </c>
      <c r="E18" s="32">
        <v>21000.0</v>
      </c>
      <c r="F18" s="33">
        <f t="shared" si="1"/>
        <v>147000</v>
      </c>
      <c r="G18" s="32" t="s">
        <v>50</v>
      </c>
      <c r="H18" s="32" t="s">
        <v>96</v>
      </c>
    </row>
    <row r="19">
      <c r="A19" s="29" t="s">
        <v>97</v>
      </c>
      <c r="B19" s="29" t="s">
        <v>98</v>
      </c>
      <c r="C19" s="29" t="s">
        <v>13</v>
      </c>
      <c r="D19" s="29">
        <v>5.0</v>
      </c>
      <c r="E19" s="29">
        <v>19000.0</v>
      </c>
      <c r="F19" s="30">
        <f t="shared" si="1"/>
        <v>95000</v>
      </c>
      <c r="G19" s="29" t="s">
        <v>57</v>
      </c>
      <c r="H19" s="29" t="s">
        <v>99</v>
      </c>
    </row>
    <row r="20">
      <c r="A20" s="32" t="s">
        <v>100</v>
      </c>
      <c r="B20" s="32" t="s">
        <v>101</v>
      </c>
      <c r="C20" s="32" t="s">
        <v>63</v>
      </c>
      <c r="D20" s="32">
        <v>4.0</v>
      </c>
      <c r="E20" s="32">
        <v>14500.0</v>
      </c>
      <c r="F20" s="33">
        <f t="shared" si="1"/>
        <v>58000</v>
      </c>
      <c r="G20" s="32" t="s">
        <v>55</v>
      </c>
      <c r="H20" s="32" t="s">
        <v>102</v>
      </c>
    </row>
    <row r="21">
      <c r="A21" s="29" t="s">
        <v>103</v>
      </c>
      <c r="B21" s="29" t="s">
        <v>104</v>
      </c>
      <c r="C21" s="29" t="s">
        <v>70</v>
      </c>
      <c r="D21" s="29">
        <v>25.0</v>
      </c>
      <c r="E21" s="29">
        <v>900.0</v>
      </c>
      <c r="F21" s="30">
        <f t="shared" si="1"/>
        <v>22500</v>
      </c>
      <c r="G21" s="29" t="s">
        <v>50</v>
      </c>
      <c r="H21" s="29" t="s">
        <v>105</v>
      </c>
    </row>
    <row r="22">
      <c r="A22" s="32" t="s">
        <v>106</v>
      </c>
      <c r="B22" s="32" t="s">
        <v>107</v>
      </c>
      <c r="C22" s="32" t="s">
        <v>67</v>
      </c>
      <c r="D22" s="32">
        <v>8.0</v>
      </c>
      <c r="E22" s="32">
        <v>2600.0</v>
      </c>
      <c r="F22" s="33">
        <f t="shared" si="1"/>
        <v>20800</v>
      </c>
      <c r="G22" s="32" t="s">
        <v>64</v>
      </c>
      <c r="H22" s="32" t="s">
        <v>108</v>
      </c>
    </row>
    <row r="23">
      <c r="A23" s="29" t="s">
        <v>109</v>
      </c>
      <c r="B23" s="29" t="s">
        <v>110</v>
      </c>
      <c r="C23" s="29" t="s">
        <v>73</v>
      </c>
      <c r="D23" s="29">
        <v>1.0</v>
      </c>
      <c r="E23" s="29">
        <v>15500.0</v>
      </c>
      <c r="F23" s="30">
        <f t="shared" si="1"/>
        <v>15500</v>
      </c>
      <c r="G23" s="29" t="s">
        <v>55</v>
      </c>
      <c r="H23" s="29" t="s">
        <v>111</v>
      </c>
    </row>
    <row r="24">
      <c r="A24" s="32" t="s">
        <v>112</v>
      </c>
      <c r="B24" s="32" t="s">
        <v>113</v>
      </c>
      <c r="C24" s="32" t="s">
        <v>7</v>
      </c>
      <c r="D24" s="32">
        <v>3.0</v>
      </c>
      <c r="E24" s="32">
        <v>52000.0</v>
      </c>
      <c r="F24" s="33">
        <f t="shared" si="1"/>
        <v>156000</v>
      </c>
      <c r="G24" s="32" t="s">
        <v>50</v>
      </c>
      <c r="H24" s="32" t="s">
        <v>114</v>
      </c>
    </row>
    <row r="25">
      <c r="A25" s="29" t="s">
        <v>115</v>
      </c>
      <c r="B25" s="29" t="s">
        <v>116</v>
      </c>
      <c r="C25" s="29" t="s">
        <v>54</v>
      </c>
      <c r="D25" s="29">
        <v>6.0</v>
      </c>
      <c r="E25" s="29">
        <v>23000.0</v>
      </c>
      <c r="F25" s="30">
        <f t="shared" si="1"/>
        <v>138000</v>
      </c>
      <c r="G25" s="29" t="s">
        <v>57</v>
      </c>
      <c r="H25" s="29" t="s">
        <v>117</v>
      </c>
    </row>
    <row r="26">
      <c r="A26" s="32" t="s">
        <v>118</v>
      </c>
      <c r="B26" s="32" t="s">
        <v>119</v>
      </c>
      <c r="C26" s="32" t="s">
        <v>13</v>
      </c>
      <c r="D26" s="32">
        <v>2.0</v>
      </c>
      <c r="E26" s="32">
        <v>17500.0</v>
      </c>
      <c r="F26" s="33">
        <f t="shared" si="1"/>
        <v>35000</v>
      </c>
      <c r="G26" s="32" t="s">
        <v>55</v>
      </c>
      <c r="H26" s="32" t="s">
        <v>120</v>
      </c>
    </row>
    <row r="27">
      <c r="A27" s="29" t="s">
        <v>121</v>
      </c>
      <c r="B27" s="29" t="s">
        <v>122</v>
      </c>
      <c r="C27" s="29" t="s">
        <v>63</v>
      </c>
      <c r="D27" s="29">
        <v>5.0</v>
      </c>
      <c r="E27" s="29">
        <v>14800.0</v>
      </c>
      <c r="F27" s="30">
        <f t="shared" si="1"/>
        <v>74000</v>
      </c>
      <c r="G27" s="29" t="s">
        <v>50</v>
      </c>
      <c r="H27" s="29" t="s">
        <v>123</v>
      </c>
    </row>
  </sheetData>
  <mergeCells count="1">
    <mergeCell ref="A1:H1"/>
  </mergeCells>
  <conditionalFormatting sqref="D3:D27">
    <cfRule type="expression" dxfId="1" priority="1">
      <formula>D2&gt;=PERCENTILE($D$2:$D$30,0.9)</formula>
    </cfRule>
  </conditionalFormatting>
  <conditionalFormatting sqref="G3:G27">
    <cfRule type="notContainsBlanks" dxfId="2" priority="2">
      <formula>LEN(TRIM(G3))&gt;0</formula>
    </cfRule>
  </conditionalFormatting>
  <conditionalFormatting sqref="A3:H27">
    <cfRule type="expression" dxfId="3" priority="3">
      <formula>$G3="Pending"</formula>
    </cfRule>
  </conditionalFormatting>
  <conditionalFormatting sqref="A3:H27">
    <cfRule type="expression" dxfId="4" priority="4">
      <formula>$G3="Delivered"</formula>
    </cfRule>
  </conditionalFormatting>
  <conditionalFormatting sqref="A3:H27">
    <cfRule type="expression" dxfId="5" priority="5">
      <formula>$G3="Cancelled"</formula>
    </cfRule>
  </conditionalFormatting>
  <conditionalFormatting sqref="A3:H27">
    <cfRule type="expression" dxfId="6" priority="6">
      <formula>$G3="Shipped"</formula>
    </cfRule>
  </conditionalFormatting>
  <dataValidations>
    <dataValidation type="list" allowBlank="1" showErrorMessage="1" sqref="H3:H27">
      <formula1>"01-06-2026,02-06-2026,03-06-2026,05-06-2026,07-06-2026,09-06-2026,10-06-2026,12-06-2026,13-06-2026,14-06-2026,15-06-2026,16-06-2026,18-06-2026,19-06-2026,20-06-2026,21-06-2026,22-06-2026,23-06-2026,24-06-2026,25-05-2026,25-06-2026,26-06-2026,27-06-2026,28"&amp;"-05-2026,30-05-2026"</formula1>
    </dataValidation>
    <dataValidation type="list" allowBlank="1" showErrorMessage="1" sqref="D3:D27">
      <formula1>"1,10,12,15,2,20,25,3,4,5,6,7,8"</formula1>
    </dataValidation>
    <dataValidation type="list" allowBlank="1" showErrorMessage="1" sqref="G3:G27">
      <formula1>"Cancelled,Delivered,Pending,Shipped"</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2.5"/>
    <col customWidth="1" min="8" max="8" width="13.75"/>
  </cols>
  <sheetData>
    <row r="1">
      <c r="A1" s="36" t="s">
        <v>124</v>
      </c>
      <c r="B1" s="37"/>
      <c r="C1" s="37"/>
      <c r="D1" s="37"/>
      <c r="E1" s="38"/>
    </row>
    <row r="2">
      <c r="A2" s="39" t="s">
        <v>125</v>
      </c>
      <c r="B2" s="39" t="s">
        <v>126</v>
      </c>
      <c r="C2" s="39" t="s">
        <v>127</v>
      </c>
      <c r="D2" s="39" t="s">
        <v>128</v>
      </c>
      <c r="E2" s="39" t="s">
        <v>129</v>
      </c>
      <c r="H2" s="40"/>
      <c r="I2" s="40"/>
    </row>
    <row r="3">
      <c r="A3" s="41" t="s">
        <v>130</v>
      </c>
      <c r="B3" s="42">
        <v>60000.0</v>
      </c>
      <c r="C3" s="42">
        <v>45000.0</v>
      </c>
      <c r="D3" s="43">
        <f t="shared" ref="D3:D14" si="1">B3-C3</f>
        <v>15000</v>
      </c>
      <c r="E3" s="44">
        <f t="shared" ref="E3:E14" si="2">D3/B3</f>
        <v>0.25</v>
      </c>
    </row>
    <row r="4">
      <c r="A4" s="45" t="s">
        <v>131</v>
      </c>
      <c r="B4" s="46">
        <v>65000.0</v>
      </c>
      <c r="C4" s="46">
        <v>50000.0</v>
      </c>
      <c r="D4" s="47">
        <f t="shared" si="1"/>
        <v>15000</v>
      </c>
      <c r="E4" s="48">
        <f t="shared" si="2"/>
        <v>0.2307692308</v>
      </c>
    </row>
    <row r="5">
      <c r="A5" s="41" t="s">
        <v>132</v>
      </c>
      <c r="B5" s="42">
        <v>55000.0</v>
      </c>
      <c r="C5" s="42">
        <v>42000.0</v>
      </c>
      <c r="D5" s="43">
        <f t="shared" si="1"/>
        <v>13000</v>
      </c>
      <c r="E5" s="44">
        <f t="shared" si="2"/>
        <v>0.2363636364</v>
      </c>
    </row>
    <row r="6">
      <c r="A6" s="45" t="s">
        <v>133</v>
      </c>
      <c r="B6" s="46">
        <v>50000.0</v>
      </c>
      <c r="C6" s="46">
        <v>33000.0</v>
      </c>
      <c r="D6" s="47">
        <f t="shared" si="1"/>
        <v>17000</v>
      </c>
      <c r="E6" s="48">
        <f t="shared" si="2"/>
        <v>0.34</v>
      </c>
    </row>
    <row r="7">
      <c r="A7" s="41" t="s">
        <v>134</v>
      </c>
      <c r="B7" s="42">
        <v>40000.0</v>
      </c>
      <c r="C7" s="42">
        <v>27000.0</v>
      </c>
      <c r="D7" s="43">
        <f t="shared" si="1"/>
        <v>13000</v>
      </c>
      <c r="E7" s="44">
        <f t="shared" si="2"/>
        <v>0.325</v>
      </c>
    </row>
    <row r="8">
      <c r="A8" s="45" t="s">
        <v>135</v>
      </c>
      <c r="B8" s="46">
        <v>60000.0</v>
      </c>
      <c r="C8" s="46">
        <v>43000.0</v>
      </c>
      <c r="D8" s="47">
        <f t="shared" si="1"/>
        <v>17000</v>
      </c>
      <c r="E8" s="48">
        <f t="shared" si="2"/>
        <v>0.2833333333</v>
      </c>
    </row>
    <row r="9">
      <c r="A9" s="41" t="s">
        <v>136</v>
      </c>
      <c r="B9" s="42">
        <v>65000.0</v>
      </c>
      <c r="C9" s="42">
        <v>44000.0</v>
      </c>
      <c r="D9" s="43">
        <f t="shared" si="1"/>
        <v>21000</v>
      </c>
      <c r="E9" s="44">
        <f t="shared" si="2"/>
        <v>0.3230769231</v>
      </c>
    </row>
    <row r="10">
      <c r="A10" s="45" t="s">
        <v>137</v>
      </c>
      <c r="B10" s="46">
        <v>70000.0</v>
      </c>
      <c r="C10" s="46">
        <v>51000.0</v>
      </c>
      <c r="D10" s="47">
        <f t="shared" si="1"/>
        <v>19000</v>
      </c>
      <c r="E10" s="48">
        <f t="shared" si="2"/>
        <v>0.2714285714</v>
      </c>
    </row>
    <row r="11">
      <c r="A11" s="41" t="s">
        <v>138</v>
      </c>
      <c r="B11" s="42">
        <v>75000.0</v>
      </c>
      <c r="C11" s="42">
        <v>52000.0</v>
      </c>
      <c r="D11" s="43">
        <f t="shared" si="1"/>
        <v>23000</v>
      </c>
      <c r="E11" s="44">
        <f t="shared" si="2"/>
        <v>0.3066666667</v>
      </c>
    </row>
    <row r="12">
      <c r="A12" s="45" t="s">
        <v>139</v>
      </c>
      <c r="B12" s="46">
        <v>85000.0</v>
      </c>
      <c r="C12" s="46">
        <v>59000.0</v>
      </c>
      <c r="D12" s="47">
        <f t="shared" si="1"/>
        <v>26000</v>
      </c>
      <c r="E12" s="48">
        <f t="shared" si="2"/>
        <v>0.3058823529</v>
      </c>
    </row>
    <row r="13">
      <c r="A13" s="41" t="s">
        <v>140</v>
      </c>
      <c r="B13" s="42">
        <v>70000.0</v>
      </c>
      <c r="C13" s="42">
        <v>53000.0</v>
      </c>
      <c r="D13" s="43">
        <f t="shared" si="1"/>
        <v>17000</v>
      </c>
      <c r="E13" s="44">
        <f t="shared" si="2"/>
        <v>0.2428571429</v>
      </c>
    </row>
    <row r="14">
      <c r="A14" s="45" t="s">
        <v>141</v>
      </c>
      <c r="B14" s="46">
        <v>90000.0</v>
      </c>
      <c r="C14" s="46">
        <v>70000.0</v>
      </c>
      <c r="D14" s="47">
        <f t="shared" si="1"/>
        <v>20000</v>
      </c>
      <c r="E14" s="48">
        <f t="shared" si="2"/>
        <v>0.2222222222</v>
      </c>
    </row>
  </sheetData>
  <mergeCells count="1">
    <mergeCell ref="A1:E1"/>
  </mergeCells>
  <printOptions gridLines="1" horizontalCentered="1"/>
  <pageMargins bottom="1.0" footer="0.0" header="0.0" left="1.0" right="1.0" top="1.0"/>
  <pageSetup paperSize="6"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32.75"/>
    <col customWidth="1" min="3" max="3" width="36.13"/>
    <col customWidth="1" min="4" max="4" width="27.88"/>
    <col customWidth="1" min="5" max="5" width="32.75"/>
    <col customWidth="1" min="12" max="12" width="27.63"/>
    <col customWidth="1" min="13" max="13" width="25.25"/>
    <col customWidth="1" min="14" max="14" width="32.5"/>
    <col customWidth="1" min="15" max="15" width="26.75"/>
  </cols>
  <sheetData>
    <row r="1">
      <c r="A1" s="49" t="s">
        <v>142</v>
      </c>
    </row>
    <row r="4">
      <c r="B4" s="20"/>
      <c r="C4" s="20"/>
      <c r="D4" s="20"/>
      <c r="E4" s="20"/>
    </row>
    <row r="5">
      <c r="B5" s="50" t="s">
        <v>143</v>
      </c>
      <c r="C5" s="50" t="s">
        <v>144</v>
      </c>
      <c r="D5" s="50" t="s">
        <v>145</v>
      </c>
      <c r="E5" s="50" t="s">
        <v>146</v>
      </c>
    </row>
    <row r="6">
      <c r="B6" s="51">
        <f>SUM(' Monthly Sales Report with 4 ch'!B3:B14)</f>
        <v>785000</v>
      </c>
      <c r="C6" s="52" t="s">
        <v>147</v>
      </c>
      <c r="D6" s="52" t="s">
        <v>148</v>
      </c>
      <c r="E6" s="53">
        <v>0.2781</v>
      </c>
    </row>
    <row r="11">
      <c r="B11" s="54" t="s">
        <v>149</v>
      </c>
      <c r="J11" s="54" t="s">
        <v>150</v>
      </c>
    </row>
    <row r="38">
      <c r="B38" s="54"/>
    </row>
    <row r="49">
      <c r="B49" s="54" t="s">
        <v>151</v>
      </c>
    </row>
    <row r="57">
      <c r="L57" s="55" t="s">
        <v>152</v>
      </c>
      <c r="M57" s="55" t="s">
        <v>153</v>
      </c>
    </row>
    <row r="58">
      <c r="L58" s="56" t="s">
        <v>154</v>
      </c>
      <c r="M58" s="57"/>
    </row>
    <row r="59">
      <c r="L59" s="56" t="s">
        <v>155</v>
      </c>
      <c r="M59" s="57"/>
    </row>
    <row r="60">
      <c r="L60" s="56" t="s">
        <v>156</v>
      </c>
      <c r="M60" s="57"/>
    </row>
    <row r="61">
      <c r="L61" s="56" t="s">
        <v>157</v>
      </c>
      <c r="M61" s="57"/>
    </row>
  </sheetData>
  <mergeCells count="4">
    <mergeCell ref="B11:H11"/>
    <mergeCell ref="J11:N11"/>
    <mergeCell ref="B38:H38"/>
    <mergeCell ref="B49:F49"/>
  </mergeCells>
  <printOptions gridLines="1" horizontalCentered="1"/>
  <pageMargins bottom="0.75" footer="0.0" header="0.0" left="0.7" right="0.7" top="0.75"/>
  <pageSetup cellComments="atEnd" orientation="landscape" pageOrder="overThenDown"/>
  <drawing r:id="rId1"/>
  <tableParts count="1">
    <tablePart r:id="rId3"/>
  </tableParts>
  <extLst>
    <ext uri="{05C60535-1F16-4fd2-B633-F4F36F0B64E0}">
      <x14:sparklineGroups>
        <x14:sparklineGroup displayEmptyCellsAs="gap">
          <x14:colorSeries rgb="FF000000"/>
          <x14:sparklines>
            <x14:sparkline>
              <xm:f>' Monthly Sales Report with 4 ch'!B2:B14</xm:f>
              <xm:sqref>M58</xm:sqref>
            </x14:sparkline>
          </x14:sparklines>
        </x14:sparklineGroup>
        <x14:sparklineGroup displayEmptyCellsAs="gap">
          <x14:colorSeries rgb="FF000000"/>
          <x14:sparklines>
            <x14:sparkline>
              <xm:f>' Monthly Sales Report with 4 ch'!C3:C14</xm:f>
              <xm:sqref>M59</xm:sqref>
            </x14:sparkline>
          </x14:sparklines>
        </x14:sparklineGroup>
        <x14:sparklineGroup displayEmptyCellsAs="gap">
          <x14:colorSeries rgb="FF000000"/>
          <x14:sparklines>
            <x14:sparkline>
              <xm:f>' Monthly Sales Report with 4 ch'!D3:D14</xm:f>
              <xm:sqref>M60</xm:sqref>
            </x14:sparkline>
          </x14:sparklines>
        </x14:sparklineGroup>
        <x14:sparklineGroup displayEmptyCellsAs="gap">
          <x14:colorSeries rgb="FF000000"/>
          <x14:sparklines>
            <x14:sparkline>
              <xm:f>' Monthly Sales Report with 4 ch'!E3:E14</xm:f>
              <xm:sqref>M61</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9" max="9" width="17.75"/>
    <col customWidth="1" min="10" max="10" width="15.25"/>
    <col customWidth="1" min="11" max="11" width="14.0"/>
    <col customWidth="1" min="12" max="12" width="14.5"/>
  </cols>
  <sheetData>
    <row r="1">
      <c r="A1" s="58" t="s">
        <v>158</v>
      </c>
    </row>
    <row r="2">
      <c r="A2" s="59" t="s">
        <v>159</v>
      </c>
      <c r="B2" s="59" t="s">
        <v>160</v>
      </c>
      <c r="C2" s="59" t="s">
        <v>161</v>
      </c>
      <c r="D2" s="59" t="s">
        <v>2</v>
      </c>
      <c r="E2" s="59" t="s">
        <v>162</v>
      </c>
      <c r="F2" s="59" t="s">
        <v>163</v>
      </c>
      <c r="G2" s="59" t="s">
        <v>46</v>
      </c>
    </row>
    <row r="3">
      <c r="A3" s="60" t="s">
        <v>164</v>
      </c>
      <c r="B3" s="60" t="s">
        <v>165</v>
      </c>
      <c r="C3" s="60" t="s">
        <v>166</v>
      </c>
      <c r="D3" s="60" t="s">
        <v>6</v>
      </c>
      <c r="E3" s="61">
        <v>45000.0</v>
      </c>
      <c r="F3" s="60">
        <v>4.0</v>
      </c>
      <c r="G3" s="60" t="s">
        <v>167</v>
      </c>
    </row>
    <row r="4">
      <c r="A4" s="62" t="s">
        <v>168</v>
      </c>
      <c r="B4" s="62" t="s">
        <v>62</v>
      </c>
      <c r="C4" s="62" t="s">
        <v>169</v>
      </c>
      <c r="D4" s="62" t="s">
        <v>9</v>
      </c>
      <c r="E4" s="63">
        <v>52000.0</v>
      </c>
      <c r="F4" s="62">
        <v>5.0</v>
      </c>
      <c r="G4" s="62" t="s">
        <v>167</v>
      </c>
      <c r="I4" s="64" t="s">
        <v>170</v>
      </c>
    </row>
    <row r="5">
      <c r="A5" s="60" t="s">
        <v>171</v>
      </c>
      <c r="B5" s="60" t="s">
        <v>172</v>
      </c>
      <c r="C5" s="60" t="s">
        <v>173</v>
      </c>
      <c r="D5" s="60" t="s">
        <v>12</v>
      </c>
      <c r="E5" s="61">
        <v>60000.0</v>
      </c>
      <c r="F5" s="60">
        <v>3.0</v>
      </c>
      <c r="G5" s="60" t="s">
        <v>167</v>
      </c>
      <c r="I5" s="65" t="s">
        <v>174</v>
      </c>
      <c r="J5" s="65" t="s">
        <v>175</v>
      </c>
    </row>
    <row r="6">
      <c r="A6" s="62" t="s">
        <v>176</v>
      </c>
      <c r="B6" s="62" t="s">
        <v>69</v>
      </c>
      <c r="C6" s="62" t="s">
        <v>177</v>
      </c>
      <c r="D6" s="62" t="s">
        <v>15</v>
      </c>
      <c r="E6" s="63">
        <v>48000.0</v>
      </c>
      <c r="F6" s="62">
        <v>2.0</v>
      </c>
      <c r="G6" s="62" t="s">
        <v>178</v>
      </c>
      <c r="I6" s="66" t="s">
        <v>179</v>
      </c>
      <c r="J6" s="66" t="s">
        <v>62</v>
      </c>
    </row>
    <row r="7">
      <c r="A7" s="60" t="s">
        <v>180</v>
      </c>
      <c r="B7" s="60" t="s">
        <v>181</v>
      </c>
      <c r="C7" s="60" t="s">
        <v>154</v>
      </c>
      <c r="D7" s="60" t="s">
        <v>6</v>
      </c>
      <c r="E7" s="61">
        <v>55000.0</v>
      </c>
      <c r="F7" s="60">
        <v>4.0</v>
      </c>
      <c r="G7" s="60" t="s">
        <v>167</v>
      </c>
      <c r="I7" s="32" t="s">
        <v>161</v>
      </c>
      <c r="J7" s="67" t="str">
        <f t="array" ref="J7">IFERROR(INDEX(C3:C32,MATCH(J6,B3:B32,0)),"Not Found")</f>
        <v>Finance</v>
      </c>
    </row>
    <row r="8">
      <c r="A8" s="62" t="s">
        <v>182</v>
      </c>
      <c r="B8" s="62" t="s">
        <v>89</v>
      </c>
      <c r="C8" s="62" t="s">
        <v>166</v>
      </c>
      <c r="D8" s="62" t="s">
        <v>9</v>
      </c>
      <c r="E8" s="63">
        <v>47000.0</v>
      </c>
      <c r="F8" s="62">
        <v>3.0</v>
      </c>
      <c r="G8" s="62" t="s">
        <v>167</v>
      </c>
      <c r="I8" s="66" t="s">
        <v>2</v>
      </c>
      <c r="J8" s="68" t="str">
        <f t="array" ref="J8">IFERROR(INDEX(D4:D33,MATCH(J6,B4:B33,0)),"Not Found")</f>
        <v>South</v>
      </c>
    </row>
    <row r="9">
      <c r="A9" s="69" t="s">
        <v>183</v>
      </c>
      <c r="B9" s="60" t="s">
        <v>184</v>
      </c>
      <c r="C9" s="60" t="s">
        <v>169</v>
      </c>
      <c r="D9" s="60" t="s">
        <v>12</v>
      </c>
      <c r="E9" s="61">
        <v>62000.0</v>
      </c>
      <c r="F9" s="60">
        <v>5.0</v>
      </c>
      <c r="G9" s="60" t="s">
        <v>167</v>
      </c>
      <c r="I9" s="32" t="s">
        <v>162</v>
      </c>
      <c r="J9" s="67">
        <f t="array" ref="J9">IFERROR(INDEX(E5:E32,MATCH(J6,B2:B32,0)),"Not Found")</f>
        <v>55000</v>
      </c>
    </row>
    <row r="10">
      <c r="A10" s="62" t="s">
        <v>185</v>
      </c>
      <c r="B10" s="62" t="s">
        <v>75</v>
      </c>
      <c r="C10" s="62" t="s">
        <v>173</v>
      </c>
      <c r="D10" s="62" t="s">
        <v>15</v>
      </c>
      <c r="E10" s="63">
        <v>58000.0</v>
      </c>
      <c r="F10" s="62">
        <v>4.0</v>
      </c>
      <c r="G10" s="62" t="s">
        <v>167</v>
      </c>
      <c r="I10" s="66" t="s">
        <v>163</v>
      </c>
      <c r="J10" s="68">
        <f t="array" ref="J10">IFERROR(INDEX(F2:F32,MATCH(J6,B2:B32,0)),"Not Found")</f>
        <v>5</v>
      </c>
    </row>
    <row r="11">
      <c r="A11" s="60" t="s">
        <v>186</v>
      </c>
      <c r="B11" s="60" t="s">
        <v>104</v>
      </c>
      <c r="C11" s="60" t="s">
        <v>177</v>
      </c>
      <c r="D11" s="60" t="s">
        <v>6</v>
      </c>
      <c r="E11" s="61">
        <v>43000.0</v>
      </c>
      <c r="F11" s="60">
        <v>2.0</v>
      </c>
      <c r="G11" s="60" t="s">
        <v>178</v>
      </c>
    </row>
    <row r="12">
      <c r="A12" s="62" t="s">
        <v>187</v>
      </c>
      <c r="B12" s="62" t="s">
        <v>53</v>
      </c>
      <c r="C12" s="62" t="s">
        <v>154</v>
      </c>
      <c r="D12" s="62" t="s">
        <v>9</v>
      </c>
      <c r="E12" s="63">
        <v>51000.0</v>
      </c>
      <c r="F12" s="62">
        <v>5.0</v>
      </c>
      <c r="G12" s="62" t="s">
        <v>167</v>
      </c>
    </row>
    <row r="13">
      <c r="A13" s="60" t="s">
        <v>188</v>
      </c>
      <c r="B13" s="60" t="s">
        <v>189</v>
      </c>
      <c r="C13" s="60" t="s">
        <v>166</v>
      </c>
      <c r="D13" s="60" t="s">
        <v>12</v>
      </c>
      <c r="E13" s="61">
        <v>46000.0</v>
      </c>
      <c r="F13" s="60">
        <v>3.0</v>
      </c>
      <c r="G13" s="60" t="s">
        <v>167</v>
      </c>
    </row>
    <row r="14">
      <c r="A14" s="62" t="s">
        <v>190</v>
      </c>
      <c r="B14" s="62" t="s">
        <v>95</v>
      </c>
      <c r="C14" s="62" t="s">
        <v>169</v>
      </c>
      <c r="D14" s="62" t="s">
        <v>15</v>
      </c>
      <c r="E14" s="63">
        <v>64000.0</v>
      </c>
      <c r="F14" s="62">
        <v>4.0</v>
      </c>
      <c r="G14" s="62" t="s">
        <v>167</v>
      </c>
    </row>
    <row r="15">
      <c r="A15" s="60" t="s">
        <v>191</v>
      </c>
      <c r="B15" s="60" t="s">
        <v>59</v>
      </c>
      <c r="C15" s="60" t="s">
        <v>173</v>
      </c>
      <c r="D15" s="60" t="s">
        <v>6</v>
      </c>
      <c r="E15" s="61">
        <v>70000.0</v>
      </c>
      <c r="F15" s="60">
        <v>5.0</v>
      </c>
      <c r="G15" s="60" t="s">
        <v>167</v>
      </c>
    </row>
    <row r="16">
      <c r="A16" s="62" t="s">
        <v>192</v>
      </c>
      <c r="B16" s="62" t="s">
        <v>79</v>
      </c>
      <c r="C16" s="62" t="s">
        <v>177</v>
      </c>
      <c r="D16" s="62" t="s">
        <v>9</v>
      </c>
      <c r="E16" s="63">
        <v>49000.0</v>
      </c>
      <c r="F16" s="62">
        <v>2.0</v>
      </c>
      <c r="G16" s="62" t="s">
        <v>178</v>
      </c>
      <c r="I16" s="70" t="s">
        <v>183</v>
      </c>
    </row>
    <row r="17">
      <c r="A17" s="60" t="s">
        <v>193</v>
      </c>
      <c r="B17" s="60" t="s">
        <v>110</v>
      </c>
      <c r="C17" s="60" t="s">
        <v>154</v>
      </c>
      <c r="D17" s="60" t="s">
        <v>12</v>
      </c>
      <c r="E17" s="61">
        <v>53000.0</v>
      </c>
      <c r="F17" s="60">
        <v>4.0</v>
      </c>
      <c r="G17" s="60" t="s">
        <v>167</v>
      </c>
      <c r="I17" s="65" t="s">
        <v>161</v>
      </c>
      <c r="J17" s="71" t="s">
        <v>194</v>
      </c>
      <c r="K17" s="71" t="s">
        <v>195</v>
      </c>
      <c r="L17" s="71" t="s">
        <v>196</v>
      </c>
    </row>
    <row r="18">
      <c r="A18" s="62" t="s">
        <v>197</v>
      </c>
      <c r="B18" s="62" t="s">
        <v>83</v>
      </c>
      <c r="C18" s="62" t="s">
        <v>166</v>
      </c>
      <c r="D18" s="62" t="s">
        <v>15</v>
      </c>
      <c r="E18" s="63">
        <v>45000.0</v>
      </c>
      <c r="F18" s="62">
        <v>3.0</v>
      </c>
      <c r="G18" s="62" t="s">
        <v>167</v>
      </c>
      <c r="I18" s="72" t="s">
        <v>166</v>
      </c>
      <c r="J18" s="73">
        <f>COUNTIFS(C:C,"HR",G:G,"Active")</f>
        <v>6</v>
      </c>
      <c r="K18" s="73">
        <f>COUNTIFS(C:C,"HR",F:F,"&gt;=4")</f>
        <v>2</v>
      </c>
      <c r="L18" s="73">
        <f>SUMIFS(E:E,C:C,"HR")</f>
        <v>276000</v>
      </c>
    </row>
    <row r="19">
      <c r="A19" s="60" t="s">
        <v>198</v>
      </c>
      <c r="B19" s="60" t="s">
        <v>98</v>
      </c>
      <c r="C19" s="60" t="s">
        <v>169</v>
      </c>
      <c r="D19" s="60" t="s">
        <v>6</v>
      </c>
      <c r="E19" s="61">
        <v>61000.0</v>
      </c>
      <c r="F19" s="60">
        <v>5.0</v>
      </c>
      <c r="G19" s="60" t="s">
        <v>167</v>
      </c>
      <c r="I19" s="32" t="s">
        <v>173</v>
      </c>
      <c r="J19" s="67">
        <f>COUNTIFS(C:C,"IT",G:G,"Active")</f>
        <v>6</v>
      </c>
      <c r="K19" s="67">
        <f>COUNTIFS(C:C,"IT",F:F,"&gt;=4")</f>
        <v>4</v>
      </c>
      <c r="L19" s="67">
        <f>SUMIFS(E:E,C:C,"it")</f>
        <v>368000</v>
      </c>
    </row>
    <row r="20">
      <c r="A20" s="62" t="s">
        <v>199</v>
      </c>
      <c r="B20" s="62" t="s">
        <v>113</v>
      </c>
      <c r="C20" s="62" t="s">
        <v>173</v>
      </c>
      <c r="D20" s="62" t="s">
        <v>9</v>
      </c>
      <c r="E20" s="63">
        <v>59000.0</v>
      </c>
      <c r="F20" s="62">
        <v>4.0</v>
      </c>
      <c r="G20" s="62" t="s">
        <v>167</v>
      </c>
      <c r="I20" s="72" t="s">
        <v>169</v>
      </c>
      <c r="J20" s="73">
        <f>COUNTIFS(C:C,"Finance",G:G,"Active")</f>
        <v>6</v>
      </c>
      <c r="K20" s="73">
        <f>COUNTIFS(C:C,"Finance",F:F,"&gt;=4")</f>
        <v>6</v>
      </c>
      <c r="L20" s="73">
        <f>SUMIFS(E:E,C:C,"Finance")</f>
        <v>367000</v>
      </c>
    </row>
    <row r="21">
      <c r="A21" s="60" t="s">
        <v>200</v>
      </c>
      <c r="B21" s="60" t="s">
        <v>122</v>
      </c>
      <c r="C21" s="60" t="s">
        <v>177</v>
      </c>
      <c r="D21" s="60" t="s">
        <v>12</v>
      </c>
      <c r="E21" s="61">
        <v>44000.0</v>
      </c>
      <c r="F21" s="60">
        <v>1.0</v>
      </c>
      <c r="G21" s="60" t="s">
        <v>178</v>
      </c>
      <c r="I21" s="32" t="s">
        <v>154</v>
      </c>
      <c r="J21" s="67">
        <f>COUNTIFS(C:C,"SALES",G:G,"Active")</f>
        <v>6</v>
      </c>
      <c r="K21" s="67">
        <f>COUNTIFS(C:C,"sales",F:F,"&gt;=4")</f>
        <v>6</v>
      </c>
      <c r="L21" s="67">
        <f>SUMIFS(E:E,C:C,"Sales")</f>
        <v>326000</v>
      </c>
    </row>
    <row r="22">
      <c r="A22" s="62" t="s">
        <v>201</v>
      </c>
      <c r="B22" s="62" t="s">
        <v>92</v>
      </c>
      <c r="C22" s="62" t="s">
        <v>154</v>
      </c>
      <c r="D22" s="62" t="s">
        <v>15</v>
      </c>
      <c r="E22" s="63">
        <v>56000.0</v>
      </c>
      <c r="F22" s="62">
        <v>5.0</v>
      </c>
      <c r="G22" s="62" t="s">
        <v>167</v>
      </c>
      <c r="I22" s="72" t="s">
        <v>177</v>
      </c>
      <c r="J22" s="73">
        <f>COUNTIFS(C:C,"HR",G:G,"Active")</f>
        <v>6</v>
      </c>
      <c r="K22" s="73">
        <f>COUNTIFS(C:C,"marketing",F:F,"&gt;=4")</f>
        <v>0</v>
      </c>
      <c r="L22" s="73">
        <f>SUMIFS(E:E,C:C,"marketing")</f>
        <v>271000</v>
      </c>
    </row>
    <row r="23">
      <c r="A23" s="60" t="s">
        <v>202</v>
      </c>
      <c r="B23" s="60" t="s">
        <v>203</v>
      </c>
      <c r="C23" s="60" t="s">
        <v>166</v>
      </c>
      <c r="D23" s="60" t="s">
        <v>6</v>
      </c>
      <c r="E23" s="61">
        <v>47000.0</v>
      </c>
      <c r="F23" s="60">
        <v>4.0</v>
      </c>
      <c r="G23" s="60" t="s">
        <v>167</v>
      </c>
    </row>
    <row r="24">
      <c r="A24" s="62" t="s">
        <v>204</v>
      </c>
      <c r="B24" s="62" t="s">
        <v>72</v>
      </c>
      <c r="C24" s="62" t="s">
        <v>169</v>
      </c>
      <c r="D24" s="62" t="s">
        <v>9</v>
      </c>
      <c r="E24" s="63">
        <v>63000.0</v>
      </c>
      <c r="F24" s="62">
        <v>5.0</v>
      </c>
      <c r="G24" s="62" t="s">
        <v>167</v>
      </c>
    </row>
    <row r="25">
      <c r="A25" s="60" t="s">
        <v>205</v>
      </c>
      <c r="B25" s="60" t="s">
        <v>119</v>
      </c>
      <c r="C25" s="60" t="s">
        <v>173</v>
      </c>
      <c r="D25" s="60" t="s">
        <v>12</v>
      </c>
      <c r="E25" s="61">
        <v>61000.0</v>
      </c>
      <c r="F25" s="60">
        <v>3.0</v>
      </c>
      <c r="G25" s="60" t="s">
        <v>167</v>
      </c>
    </row>
    <row r="26">
      <c r="A26" s="62" t="s">
        <v>206</v>
      </c>
      <c r="B26" s="62" t="s">
        <v>86</v>
      </c>
      <c r="C26" s="62" t="s">
        <v>177</v>
      </c>
      <c r="D26" s="62" t="s">
        <v>15</v>
      </c>
      <c r="E26" s="63">
        <v>42000.0</v>
      </c>
      <c r="F26" s="62">
        <v>2.0</v>
      </c>
      <c r="G26" s="62" t="s">
        <v>178</v>
      </c>
      <c r="I26" s="74" t="s">
        <v>207</v>
      </c>
    </row>
    <row r="27">
      <c r="A27" s="60" t="s">
        <v>208</v>
      </c>
      <c r="B27" s="60" t="s">
        <v>116</v>
      </c>
      <c r="C27" s="60" t="s">
        <v>154</v>
      </c>
      <c r="D27" s="60" t="s">
        <v>6</v>
      </c>
      <c r="E27" s="61">
        <v>54000.0</v>
      </c>
      <c r="F27" s="60">
        <v>4.0</v>
      </c>
      <c r="G27" s="60" t="s">
        <v>167</v>
      </c>
      <c r="I27" s="75" t="s">
        <v>2</v>
      </c>
      <c r="J27" s="76" t="s">
        <v>209</v>
      </c>
    </row>
    <row r="28">
      <c r="A28" s="62" t="s">
        <v>210</v>
      </c>
      <c r="B28" s="62" t="s">
        <v>107</v>
      </c>
      <c r="C28" s="62" t="s">
        <v>166</v>
      </c>
      <c r="D28" s="62" t="s">
        <v>9</v>
      </c>
      <c r="E28" s="63">
        <v>46000.0</v>
      </c>
      <c r="F28" s="62">
        <v>3.0</v>
      </c>
      <c r="G28" s="62" t="s">
        <v>167</v>
      </c>
      <c r="I28" s="77" t="s">
        <v>6</v>
      </c>
      <c r="J28" s="78">
        <f>AVERAGEIFS(E:E,D:D,"North")</f>
        <v>52500</v>
      </c>
    </row>
    <row r="29">
      <c r="A29" s="60" t="s">
        <v>211</v>
      </c>
      <c r="B29" s="60" t="s">
        <v>81</v>
      </c>
      <c r="C29" s="60" t="s">
        <v>169</v>
      </c>
      <c r="D29" s="60" t="s">
        <v>12</v>
      </c>
      <c r="E29" s="61">
        <v>65000.0</v>
      </c>
      <c r="F29" s="60">
        <v>5.0</v>
      </c>
      <c r="G29" s="60" t="s">
        <v>167</v>
      </c>
      <c r="I29" s="77" t="s">
        <v>9</v>
      </c>
      <c r="J29" s="78">
        <f>AVERAGEIFS(E:E,D:D,"south")</f>
        <v>53000</v>
      </c>
    </row>
    <row r="30">
      <c r="A30" s="62" t="s">
        <v>212</v>
      </c>
      <c r="B30" s="62" t="s">
        <v>101</v>
      </c>
      <c r="C30" s="62" t="s">
        <v>173</v>
      </c>
      <c r="D30" s="62" t="s">
        <v>15</v>
      </c>
      <c r="E30" s="63">
        <v>60000.0</v>
      </c>
      <c r="F30" s="62">
        <v>4.0</v>
      </c>
      <c r="G30" s="62" t="s">
        <v>167</v>
      </c>
      <c r="I30" s="77" t="s">
        <v>12</v>
      </c>
      <c r="J30" s="79">
        <f>AVERAGEIFS(E:E,D:D,"east")</f>
        <v>55857.14286</v>
      </c>
    </row>
    <row r="31">
      <c r="A31" s="60" t="s">
        <v>213</v>
      </c>
      <c r="B31" s="60" t="s">
        <v>66</v>
      </c>
      <c r="C31" s="60" t="s">
        <v>177</v>
      </c>
      <c r="D31" s="60" t="s">
        <v>6</v>
      </c>
      <c r="E31" s="61">
        <v>45000.0</v>
      </c>
      <c r="F31" s="60">
        <v>2.0</v>
      </c>
      <c r="G31" s="60" t="s">
        <v>178</v>
      </c>
      <c r="I31" s="77" t="s">
        <v>15</v>
      </c>
      <c r="J31" s="79">
        <f>AVERAGEIFS(E:E,D:D,"west")</f>
        <v>53285.71429</v>
      </c>
    </row>
    <row r="32">
      <c r="A32" s="62" t="s">
        <v>214</v>
      </c>
      <c r="B32" s="62" t="s">
        <v>215</v>
      </c>
      <c r="C32" s="62" t="s">
        <v>154</v>
      </c>
      <c r="D32" s="62" t="s">
        <v>9</v>
      </c>
      <c r="E32" s="63">
        <v>57000.0</v>
      </c>
      <c r="F32" s="62">
        <v>5.0</v>
      </c>
      <c r="G32" s="62" t="s">
        <v>167</v>
      </c>
    </row>
  </sheetData>
  <mergeCells count="4">
    <mergeCell ref="A1:G1"/>
    <mergeCell ref="I26:J26"/>
    <mergeCell ref="I16:L16"/>
    <mergeCell ref="I4:J4"/>
  </mergeCells>
  <conditionalFormatting sqref="F2:F32">
    <cfRule type="colorScale" priority="1">
      <colorScale>
        <cfvo type="formula" val="1"/>
        <cfvo type="formula" val="3"/>
        <cfvo type="formula" val="5"/>
        <color rgb="FFCC0000"/>
        <color rgb="FFFFD966"/>
        <color rgb="FF6AA84F"/>
      </colorScale>
    </cfRule>
  </conditionalFormatting>
  <printOptions gridLines="1" horizontalCentered="1"/>
  <pageMargins bottom="0.75" footer="0.0" header="0.0" left="0.7" right="0.7" top="0.75"/>
  <pageSetup paperSize="9" cellComments="atEnd" orientation="landscape" pageOrder="overThenDown"/>
  <drawing r:id="rId1"/>
  <tableParts count="1">
    <tablePart r:id="rId3"/>
  </tableParts>
</worksheet>
</file>